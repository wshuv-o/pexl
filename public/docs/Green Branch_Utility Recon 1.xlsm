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Esme Abha\Downloads\"/>
    </mc:Choice>
  </mc:AlternateContent>
  <xr:revisionPtr revIDLastSave="0" documentId="13_ncr:1_{75D80ACE-3983-4F34-A631-284486C43989}" xr6:coauthVersionLast="47" xr6:coauthVersionMax="47" xr10:uidLastSave="{00000000-0000-0000-0000-000000000000}"/>
  <bookViews>
    <workbookView xWindow="28680" yWindow="-120" windowWidth="29040" windowHeight="15720" tabRatio="883" xr2:uid="{00000000-000D-0000-FFFF-FFFF00000000}"/>
  </bookViews>
  <sheets>
    <sheet name="green Branch_Utility Recon" sheetId="21" r:id="rId1"/>
  </sheets>
  <definedNames>
    <definedName name="_xlnm._FilterDatabase" localSheetId="0" hidden="1">'green Branch_Utility Recon'!$B$6:$AA$26</definedName>
    <definedName name="_xleta.N" hidden="1" xlm="1">#NAME?</definedName>
    <definedName name="_xlnm.Print_Area" localSheetId="0">'green Branch_Utility Recon'!$B$3:$AA$26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2" i="21" l="1"/>
  <c r="W42" i="21"/>
  <c r="W54" i="21" s="1"/>
  <c r="W39" i="21"/>
  <c r="W45" i="21" s="1"/>
  <c r="W57" i="21" s="1"/>
  <c r="W31" i="21"/>
  <c r="W44" i="21" s="1"/>
  <c r="W56" i="21" s="1"/>
  <c r="W26" i="21"/>
  <c r="W43" i="21" s="1"/>
  <c r="W3" i="21"/>
  <c r="W2" i="21"/>
  <c r="Y36" i="21"/>
  <c r="Y37" i="21"/>
  <c r="K34" i="21"/>
  <c r="M34" i="21"/>
  <c r="O34" i="21"/>
  <c r="P34" i="21"/>
  <c r="S34" i="21"/>
  <c r="K24" i="21"/>
  <c r="L21" i="21"/>
  <c r="K23" i="21"/>
  <c r="K20" i="21"/>
  <c r="L20" i="21"/>
  <c r="K22" i="21"/>
  <c r="L24" i="21"/>
  <c r="L19" i="21"/>
  <c r="L23" i="21"/>
  <c r="L22" i="21"/>
  <c r="K21" i="21"/>
  <c r="M12" i="21"/>
  <c r="M11" i="21"/>
  <c r="M15" i="21"/>
  <c r="M13" i="21"/>
  <c r="M9" i="21"/>
  <c r="K19" i="21"/>
  <c r="K18" i="21"/>
  <c r="Y18" i="21" s="1"/>
  <c r="K17" i="21"/>
  <c r="Y17" i="21" s="1"/>
  <c r="O15" i="21"/>
  <c r="O12" i="21"/>
  <c r="N9" i="21"/>
  <c r="O13" i="21"/>
  <c r="O9" i="21"/>
  <c r="O11" i="21"/>
  <c r="O10" i="21"/>
  <c r="O16" i="21"/>
  <c r="P15" i="21"/>
  <c r="P16" i="21"/>
  <c r="P12" i="21"/>
  <c r="P9" i="21"/>
  <c r="P10" i="21"/>
  <c r="P13" i="21"/>
  <c r="P11" i="21"/>
  <c r="Q16" i="21"/>
  <c r="Q9" i="21"/>
  <c r="Q10" i="21"/>
  <c r="Q12" i="21"/>
  <c r="Q15" i="21"/>
  <c r="R12" i="21"/>
  <c r="P14" i="21"/>
  <c r="Y14" i="21" s="1"/>
  <c r="Q13" i="21"/>
  <c r="S12" i="21"/>
  <c r="S10" i="21"/>
  <c r="S9" i="21"/>
  <c r="U12" i="21"/>
  <c r="U26" i="21" s="1"/>
  <c r="U43" i="21" s="1"/>
  <c r="Q11" i="21"/>
  <c r="V52" i="21"/>
  <c r="V42" i="21"/>
  <c r="V54" i="21" s="1"/>
  <c r="V39" i="21"/>
  <c r="V45" i="21" s="1"/>
  <c r="V57" i="21" s="1"/>
  <c r="V31" i="21"/>
  <c r="V44" i="21" s="1"/>
  <c r="V56" i="21" s="1"/>
  <c r="V26" i="21"/>
  <c r="V43" i="21" s="1"/>
  <c r="V55" i="21" s="1"/>
  <c r="V3" i="21"/>
  <c r="V2" i="21"/>
  <c r="U52" i="21"/>
  <c r="U42" i="21"/>
  <c r="U48" i="21" s="1"/>
  <c r="U39" i="21"/>
  <c r="U45" i="21" s="1"/>
  <c r="U57" i="21" s="1"/>
  <c r="U31" i="21"/>
  <c r="U44" i="21" s="1"/>
  <c r="U56" i="21" s="1"/>
  <c r="U3" i="21"/>
  <c r="U2" i="21"/>
  <c r="B45" i="21"/>
  <c r="B57" i="21" s="1"/>
  <c r="B44" i="21"/>
  <c r="B56" i="21" s="1"/>
  <c r="B43" i="21"/>
  <c r="B55" i="21" s="1"/>
  <c r="Y35" i="21"/>
  <c r="Y29" i="21"/>
  <c r="W55" i="21" l="1"/>
  <c r="W46" i="21"/>
  <c r="W58" i="21" s="1"/>
  <c r="W48" i="21"/>
  <c r="Y34" i="21"/>
  <c r="Y21" i="21"/>
  <c r="Y20" i="21"/>
  <c r="Y19" i="21"/>
  <c r="Y22" i="21"/>
  <c r="Y15" i="21"/>
  <c r="Y16" i="21"/>
  <c r="Y13" i="21"/>
  <c r="V46" i="21"/>
  <c r="V58" i="21" s="1"/>
  <c r="V48" i="21"/>
  <c r="U54" i="21"/>
  <c r="B51" i="21"/>
  <c r="U46" i="21"/>
  <c r="U58" i="21" s="1"/>
  <c r="U55" i="21"/>
  <c r="B49" i="21"/>
  <c r="B50" i="21"/>
  <c r="S42" i="21"/>
  <c r="S54" i="21" s="1"/>
  <c r="S39" i="21"/>
  <c r="S45" i="21" s="1"/>
  <c r="S31" i="21"/>
  <c r="S44" i="21" s="1"/>
  <c r="S26" i="21"/>
  <c r="S43" i="21" s="1"/>
  <c r="S3" i="21"/>
  <c r="S2" i="21"/>
  <c r="T42" i="21"/>
  <c r="T54" i="21" s="1"/>
  <c r="T39" i="21"/>
  <c r="T45" i="21" s="1"/>
  <c r="T31" i="21"/>
  <c r="T44" i="21" s="1"/>
  <c r="T26" i="21"/>
  <c r="T43" i="21" s="1"/>
  <c r="T3" i="21"/>
  <c r="T2" i="21"/>
  <c r="X26" i="21"/>
  <c r="R26" i="21"/>
  <c r="R43" i="21" s="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Y24" i="21"/>
  <c r="Y23" i="21"/>
  <c r="Y12" i="21"/>
  <c r="Y11" i="21"/>
  <c r="Y10" i="21"/>
  <c r="Y9" i="21"/>
  <c r="X52" i="21"/>
  <c r="I52" i="21"/>
  <c r="H52" i="21"/>
  <c r="G52" i="21"/>
  <c r="F52" i="21"/>
  <c r="E52" i="21"/>
  <c r="T51" i="21" l="1"/>
  <c r="T57" i="21" s="1"/>
  <c r="S51" i="21"/>
  <c r="S57" i="21" s="1"/>
  <c r="R51" i="21"/>
  <c r="Q51" i="21"/>
  <c r="P51" i="21"/>
  <c r="O51" i="21"/>
  <c r="N51" i="21"/>
  <c r="M51" i="21"/>
  <c r="L51" i="21"/>
  <c r="K51" i="21"/>
  <c r="J51" i="21"/>
  <c r="O49" i="21"/>
  <c r="N49" i="21"/>
  <c r="M49" i="21"/>
  <c r="L49" i="21"/>
  <c r="K49" i="21"/>
  <c r="J49" i="21"/>
  <c r="T49" i="21"/>
  <c r="T55" i="21" s="1"/>
  <c r="S49" i="21"/>
  <c r="S55" i="21" s="1"/>
  <c r="R49" i="21"/>
  <c r="Q49" i="21"/>
  <c r="P49" i="21"/>
  <c r="T50" i="21"/>
  <c r="T56" i="21" s="1"/>
  <c r="S50" i="21"/>
  <c r="S56" i="21" s="1"/>
  <c r="R50" i="21"/>
  <c r="Q50" i="21"/>
  <c r="P50" i="21"/>
  <c r="N50" i="21"/>
  <c r="M50" i="21"/>
  <c r="L50" i="21"/>
  <c r="K50" i="21"/>
  <c r="J50" i="21"/>
  <c r="O50" i="21"/>
  <c r="Y39" i="21"/>
  <c r="Y45" i="21" s="1"/>
  <c r="Y31" i="21"/>
  <c r="Y44" i="21" s="1"/>
  <c r="S48" i="21"/>
  <c r="T48" i="21"/>
  <c r="S46" i="21"/>
  <c r="Y26" i="21"/>
  <c r="Y43" i="21" s="1"/>
  <c r="T46" i="21"/>
  <c r="E43" i="21"/>
  <c r="E55" i="21" s="1"/>
  <c r="X43" i="21"/>
  <c r="M52" i="21" l="1"/>
  <c r="J52" i="21"/>
  <c r="Y49" i="21"/>
  <c r="O52" i="21"/>
  <c r="L52" i="21"/>
  <c r="T52" i="21"/>
  <c r="T58" i="21" s="1"/>
  <c r="R52" i="21"/>
  <c r="Y50" i="21"/>
  <c r="N52" i="21"/>
  <c r="S52" i="21"/>
  <c r="S58" i="21" s="1"/>
  <c r="P52" i="21"/>
  <c r="Y51" i="21"/>
  <c r="K52" i="21"/>
  <c r="Q52" i="21"/>
  <c r="Y46" i="21"/>
  <c r="G39" i="21"/>
  <c r="E39" i="21"/>
  <c r="E45" i="21" s="1"/>
  <c r="E57" i="21" s="1"/>
  <c r="Y52" i="21" l="1"/>
  <c r="E42" i="21"/>
  <c r="E54" i="21" s="1"/>
  <c r="E31" i="21"/>
  <c r="E44" i="21" s="1"/>
  <c r="E3" i="21"/>
  <c r="E2" i="21"/>
  <c r="F31" i="21"/>
  <c r="E56" i="21" l="1"/>
  <c r="E46" i="21"/>
  <c r="E58" i="21" s="1"/>
  <c r="E48" i="21"/>
  <c r="G42" i="21" l="1"/>
  <c r="G54" i="21" s="1"/>
  <c r="H42" i="21"/>
  <c r="H54" i="21" s="1"/>
  <c r="I42" i="21"/>
  <c r="I48" i="21" s="1"/>
  <c r="J42" i="21"/>
  <c r="J54" i="21" s="1"/>
  <c r="K42" i="21"/>
  <c r="K54" i="21" s="1"/>
  <c r="L42" i="21"/>
  <c r="L54" i="21" s="1"/>
  <c r="M42" i="21"/>
  <c r="M54" i="21" s="1"/>
  <c r="N42" i="21"/>
  <c r="N54" i="21" s="1"/>
  <c r="O42" i="21"/>
  <c r="O48" i="21" s="1"/>
  <c r="P42" i="21"/>
  <c r="P54" i="21" s="1"/>
  <c r="Q42" i="21"/>
  <c r="Q54" i="21" s="1"/>
  <c r="R42" i="21"/>
  <c r="R48" i="21" s="1"/>
  <c r="X42" i="21"/>
  <c r="X54" i="21" s="1"/>
  <c r="F42" i="21"/>
  <c r="F48" i="21" s="1"/>
  <c r="F54" i="21" l="1"/>
  <c r="G48" i="21"/>
  <c r="H48" i="21"/>
  <c r="I54" i="21"/>
  <c r="O54" i="21"/>
  <c r="R54" i="21"/>
  <c r="J48" i="21"/>
  <c r="M48" i="21"/>
  <c r="X48" i="21"/>
  <c r="K48" i="21"/>
  <c r="L48" i="21"/>
  <c r="N48" i="21"/>
  <c r="P48" i="21"/>
  <c r="Q48" i="21"/>
  <c r="F39" i="21" l="1"/>
  <c r="F45" i="21" s="1"/>
  <c r="F57" i="21" s="1"/>
  <c r="F44" i="21"/>
  <c r="F56" i="21" s="1"/>
  <c r="F43" i="21"/>
  <c r="F55" i="21" s="1"/>
  <c r="F3" i="21"/>
  <c r="F2" i="21"/>
  <c r="F46" i="21" l="1"/>
  <c r="F58" i="21" s="1"/>
  <c r="G45" i="21" l="1"/>
  <c r="G57" i="21" s="1"/>
  <c r="Q31" i="21"/>
  <c r="Q44" i="21" s="1"/>
  <c r="P31" i="21"/>
  <c r="P44" i="21" s="1"/>
  <c r="O31" i="21"/>
  <c r="O44" i="21" s="1"/>
  <c r="N31" i="21"/>
  <c r="N44" i="21" s="1"/>
  <c r="L31" i="21"/>
  <c r="L44" i="21" s="1"/>
  <c r="K31" i="21"/>
  <c r="K44" i="21" s="1"/>
  <c r="Q43" i="21"/>
  <c r="P43" i="21"/>
  <c r="O43" i="21"/>
  <c r="N43" i="21"/>
  <c r="M43" i="21"/>
  <c r="L43" i="21"/>
  <c r="K43" i="21"/>
  <c r="J43" i="21"/>
  <c r="I43" i="21"/>
  <c r="H43" i="21"/>
  <c r="K39" i="21" l="1"/>
  <c r="K45" i="21" s="1"/>
  <c r="L39" i="21"/>
  <c r="L45" i="21" s="1"/>
  <c r="M39" i="21"/>
  <c r="M45" i="21" s="1"/>
  <c r="N39" i="21"/>
  <c r="N45" i="21" s="1"/>
  <c r="O39" i="21"/>
  <c r="O45" i="21" s="1"/>
  <c r="P39" i="21"/>
  <c r="P45" i="21" s="1"/>
  <c r="Q39" i="21"/>
  <c r="Q45" i="21" s="1"/>
  <c r="R39" i="21"/>
  <c r="R45" i="21" s="1"/>
  <c r="H39" i="21"/>
  <c r="H45" i="21" s="1"/>
  <c r="I39" i="21"/>
  <c r="I45" i="21" s="1"/>
  <c r="X39" i="21"/>
  <c r="X45" i="21" s="1"/>
  <c r="J39" i="21"/>
  <c r="J45" i="21" s="1"/>
  <c r="Y57" i="21" l="1"/>
  <c r="O46" i="21"/>
  <c r="N46" i="21"/>
  <c r="Q46" i="21"/>
  <c r="P46" i="21"/>
  <c r="L46" i="21"/>
  <c r="K46" i="21"/>
  <c r="X57" i="21"/>
  <c r="R57" i="21"/>
  <c r="Q57" i="21"/>
  <c r="P57" i="21"/>
  <c r="O57" i="21"/>
  <c r="N57" i="21"/>
  <c r="M57" i="21"/>
  <c r="L57" i="21"/>
  <c r="K57" i="21"/>
  <c r="J57" i="21"/>
  <c r="I57" i="21"/>
  <c r="H57" i="21"/>
  <c r="Q56" i="21"/>
  <c r="P56" i="21"/>
  <c r="O56" i="21"/>
  <c r="N56" i="21"/>
  <c r="L56" i="21"/>
  <c r="K56" i="21"/>
  <c r="X55" i="21"/>
  <c r="R55" i="21"/>
  <c r="Q55" i="21"/>
  <c r="P55" i="21"/>
  <c r="O55" i="21"/>
  <c r="N55" i="21"/>
  <c r="M55" i="21"/>
  <c r="L55" i="21"/>
  <c r="K55" i="21"/>
  <c r="J55" i="21"/>
  <c r="I55" i="21"/>
  <c r="H55" i="21"/>
  <c r="X31" i="21" l="1"/>
  <c r="X44" i="21" s="1"/>
  <c r="X46" i="21" s="1"/>
  <c r="M31" i="21"/>
  <c r="M44" i="21" s="1"/>
  <c r="R31" i="21"/>
  <c r="R44" i="21" s="1"/>
  <c r="R46" i="21" s="1"/>
  <c r="J31" i="21"/>
  <c r="J44" i="21" s="1"/>
  <c r="I31" i="21"/>
  <c r="I44" i="21" s="1"/>
  <c r="G31" i="21"/>
  <c r="G44" i="21" s="1"/>
  <c r="G56" i="21" s="1"/>
  <c r="G43" i="21"/>
  <c r="G55" i="21" s="1"/>
  <c r="X3" i="21"/>
  <c r="R3" i="21"/>
  <c r="Q3" i="21"/>
  <c r="P3" i="21"/>
  <c r="O3" i="21"/>
  <c r="N3" i="21"/>
  <c r="M3" i="21"/>
  <c r="L3" i="21"/>
  <c r="K3" i="21"/>
  <c r="J3" i="21"/>
  <c r="I3" i="21"/>
  <c r="H3" i="21"/>
  <c r="G3" i="21"/>
  <c r="X2" i="21"/>
  <c r="R2" i="21"/>
  <c r="Q2" i="21"/>
  <c r="P2" i="21"/>
  <c r="O2" i="21"/>
  <c r="N2" i="21"/>
  <c r="M2" i="21"/>
  <c r="L2" i="21"/>
  <c r="K2" i="21"/>
  <c r="J2" i="21"/>
  <c r="I2" i="21"/>
  <c r="H2" i="21"/>
  <c r="G2" i="21"/>
  <c r="Y55" i="21" l="1"/>
  <c r="H31" i="21"/>
  <c r="H44" i="21" s="1"/>
  <c r="R56" i="21"/>
  <c r="X56" i="21"/>
  <c r="M46" i="21"/>
  <c r="M56" i="21"/>
  <c r="I46" i="21"/>
  <c r="I56" i="21"/>
  <c r="J46" i="21"/>
  <c r="J56" i="21"/>
  <c r="G46" i="21"/>
  <c r="G58" i="21" s="1"/>
  <c r="H46" i="21" l="1"/>
  <c r="H58" i="21" s="1"/>
  <c r="H56" i="21"/>
  <c r="Y56" i="21"/>
  <c r="O58" i="21"/>
  <c r="Q58" i="21"/>
  <c r="N58" i="21"/>
  <c r="P58" i="21"/>
  <c r="J58" i="21"/>
  <c r="I58" i="21"/>
  <c r="R58" i="21"/>
  <c r="M58" i="21"/>
  <c r="L58" i="21"/>
  <c r="K58" i="21"/>
  <c r="X58" i="21"/>
  <c r="Z57" i="21"/>
  <c r="Z55" i="21"/>
  <c r="Z56" i="21"/>
  <c r="Y58" i="21" l="1"/>
  <c r="Z58" i="21"/>
</calcChain>
</file>

<file path=xl/sharedStrings.xml><?xml version="1.0" encoding="utf-8"?>
<sst xmlns="http://schemas.openxmlformats.org/spreadsheetml/2006/main" count="70" uniqueCount="30">
  <si>
    <t>Property Name:</t>
  </si>
  <si>
    <t>Address</t>
  </si>
  <si>
    <t>Utility Items</t>
  </si>
  <si>
    <t>Utility Provider</t>
  </si>
  <si>
    <t>Account Number</t>
  </si>
  <si>
    <t>Total</t>
  </si>
  <si>
    <t>Comments</t>
  </si>
  <si>
    <t>Electricity</t>
  </si>
  <si>
    <t>AES Ohio</t>
  </si>
  <si>
    <t>Total Electricity</t>
  </si>
  <si>
    <t>Phone &amp; Internet</t>
  </si>
  <si>
    <t>409 32</t>
  </si>
  <si>
    <t>Total Phone &amp; Internet</t>
  </si>
  <si>
    <t>Water, Trash &amp; Waste Management</t>
  </si>
  <si>
    <t>NAV</t>
  </si>
  <si>
    <t>WM</t>
  </si>
  <si>
    <t>27-59186-83008</t>
  </si>
  <si>
    <t>292-02000-03</t>
  </si>
  <si>
    <t>Total Water, Trash &amp; Waste Management</t>
  </si>
  <si>
    <t>Utility Bills</t>
  </si>
  <si>
    <t>Total Utilities</t>
  </si>
  <si>
    <t>Operating Statement</t>
  </si>
  <si>
    <t>Variance</t>
  </si>
  <si>
    <t>green Branch</t>
  </si>
  <si>
    <t>green branch</t>
  </si>
  <si>
    <t>SSS Green</t>
  </si>
  <si>
    <t>lightspeed</t>
  </si>
  <si>
    <t>greeeb Exca</t>
  </si>
  <si>
    <t>chumke</t>
  </si>
  <si>
    <t>southasian 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</si>
</sst>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$&quot;#,##0.00"/>
    <numFmt numFmtId="166" formatCode="0.0%"/>
    <numFmt numFmtId="167" formatCode="_(* #,##0_);_(* \(#,##0\);_(* &quot;-&quot;??_);_(@_)"/>
    <numFmt numFmtId="168" formatCode="0.000%"/>
    <numFmt numFmtId="169" formatCode="_(* #,##0_);_(* \(#,##0\);_(* &quot;-&quot;?_);_(@_)"/>
    <numFmt numFmtId="170" formatCode="_(* #,##0.0_);_(* \(#,##0.0\);_(* &quot;-&quot;?_);_(@_)"/>
    <numFmt numFmtId="171" formatCode="_(* #,##0.00_);_(* \(#,##0.00\);_(* &quot;-&quot;?_);_(@_)"/>
    <numFmt numFmtId="172" formatCode="00000"/>
    <numFmt numFmtId="173" formatCode="0\ &quot; Loan Term (Years)&quot;"/>
    <numFmt numFmtId="174" formatCode="_(* #,##0.0000_);_(* \(#,##0.0000\);_(* &quot;-&quot;?_);_(@_)"/>
    <numFmt numFmtId="175" formatCode="#"/>
    <numFmt numFmtId="176" formatCode="General\K"/>
    <numFmt numFmtId="177" formatCode="_-* #,##0.00\ [$€-1]_-;\-* #,##0.00\ [$€-1]_-;_-* &quot;-&quot;??\ [$€-1]_-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b/>
      <i/>
      <u/>
      <sz val="14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u/>
      <sz val="10"/>
      <name val="Calibri"/>
      <family val="2"/>
      <scheme val="minor"/>
    </font>
    <font>
      <b/>
      <i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name val="Times New Roman"/>
      <family val="1"/>
    </font>
    <font>
      <sz val="8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b/>
      <i/>
      <sz val="10"/>
      <name val="Arial"/>
      <family val="2"/>
    </font>
    <font>
      <b/>
      <u val="double"/>
      <sz val="12"/>
      <name val="Arial"/>
      <family val="2"/>
    </font>
    <font>
      <b/>
      <i/>
      <u/>
      <sz val="12"/>
      <name val="Arial"/>
      <family val="2"/>
    </font>
    <font>
      <sz val="8"/>
      <color indexed="63"/>
      <name val="Arial"/>
      <family val="2"/>
    </font>
    <font>
      <sz val="11"/>
      <color indexed="8"/>
      <name val="Calibri"/>
      <family val="2"/>
    </font>
    <font>
      <sz val="11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229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6" fillId="0" borderId="0"/>
    <xf numFmtId="0" fontId="3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5" fillId="0" borderId="0"/>
    <xf numFmtId="0" fontId="16" fillId="0" borderId="0" applyNumberFormat="0"/>
    <xf numFmtId="0" fontId="16" fillId="0" borderId="0" applyNumberFormat="0"/>
    <xf numFmtId="0" fontId="16" fillId="0" borderId="0" applyNumberFormat="0"/>
    <xf numFmtId="0" fontId="17" fillId="0" borderId="0" applyBorder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169" fontId="19" fillId="6" borderId="0" applyBorder="0">
      <protection locked="0"/>
    </xf>
    <xf numFmtId="169" fontId="19" fillId="0" borderId="0" applyBorder="0"/>
    <xf numFmtId="169" fontId="19" fillId="7" borderId="0">
      <alignment vertical="center"/>
      <protection locked="0"/>
    </xf>
    <xf numFmtId="169" fontId="17" fillId="6" borderId="0" applyBorder="0">
      <protection locked="0"/>
    </xf>
    <xf numFmtId="169" fontId="17" fillId="0" borderId="0" applyBorder="0"/>
    <xf numFmtId="169" fontId="19" fillId="6" borderId="5">
      <protection locked="0"/>
    </xf>
    <xf numFmtId="169" fontId="19" fillId="0" borderId="5"/>
    <xf numFmtId="169" fontId="19" fillId="7" borderId="5">
      <protection locked="0"/>
    </xf>
    <xf numFmtId="169" fontId="17" fillId="7" borderId="0" applyBorder="0">
      <protection locked="0"/>
    </xf>
    <xf numFmtId="170" fontId="19" fillId="6" borderId="0" applyBorder="0">
      <protection locked="0"/>
    </xf>
    <xf numFmtId="170" fontId="19" fillId="0" borderId="0" applyBorder="0"/>
    <xf numFmtId="170" fontId="19" fillId="7" borderId="0" applyFill="0">
      <protection locked="0"/>
    </xf>
    <xf numFmtId="170" fontId="17" fillId="6" borderId="0" applyBorder="0">
      <protection locked="0"/>
    </xf>
    <xf numFmtId="170" fontId="17" fillId="0" borderId="0" applyBorder="0"/>
    <xf numFmtId="170" fontId="19" fillId="6" borderId="5">
      <protection locked="0"/>
    </xf>
    <xf numFmtId="170" fontId="19" fillId="0" borderId="5"/>
    <xf numFmtId="170" fontId="19" fillId="7" borderId="5">
      <protection locked="0"/>
    </xf>
    <xf numFmtId="170" fontId="17" fillId="7" borderId="0" applyBorder="0">
      <protection locked="0"/>
    </xf>
    <xf numFmtId="171" fontId="19" fillId="6" borderId="0" applyBorder="0">
      <protection locked="0"/>
    </xf>
    <xf numFmtId="171" fontId="19" fillId="0" borderId="0" applyBorder="0"/>
    <xf numFmtId="171" fontId="19" fillId="7" borderId="0" applyBorder="0">
      <protection locked="0"/>
    </xf>
    <xf numFmtId="171" fontId="17" fillId="6" borderId="0" applyBorder="0">
      <protection locked="0"/>
    </xf>
    <xf numFmtId="171" fontId="17" fillId="0" borderId="0" applyBorder="0"/>
    <xf numFmtId="171" fontId="19" fillId="6" borderId="5">
      <protection locked="0"/>
    </xf>
    <xf numFmtId="171" fontId="19" fillId="0" borderId="5"/>
    <xf numFmtId="171" fontId="17" fillId="7" borderId="0" applyBorder="0">
      <protection locked="0"/>
    </xf>
    <xf numFmtId="171" fontId="19" fillId="7" borderId="5">
      <protection locked="0"/>
    </xf>
    <xf numFmtId="174" fontId="19" fillId="0" borderId="0" applyBorder="0"/>
    <xf numFmtId="174" fontId="17" fillId="6" borderId="1" applyBorder="0">
      <protection locked="0"/>
    </xf>
    <xf numFmtId="176" fontId="17" fillId="0" borderId="0" applyBorder="0"/>
    <xf numFmtId="176" fontId="17" fillId="0" borderId="0" applyBorder="0"/>
    <xf numFmtId="176" fontId="17" fillId="0" borderId="0" applyBorder="0"/>
    <xf numFmtId="176" fontId="17" fillId="0" borderId="0" applyBorder="0"/>
    <xf numFmtId="176" fontId="17" fillId="0" borderId="0" applyBorder="0"/>
    <xf numFmtId="176" fontId="17" fillId="7" borderId="0" applyBorder="0">
      <protection locked="0"/>
    </xf>
    <xf numFmtId="9" fontId="19" fillId="6" borderId="0" applyBorder="0">
      <protection locked="0"/>
    </xf>
    <xf numFmtId="9" fontId="19" fillId="0" borderId="0" applyBorder="0"/>
    <xf numFmtId="9" fontId="19" fillId="7" borderId="0" applyBorder="0">
      <protection locked="0"/>
    </xf>
    <xf numFmtId="9" fontId="17" fillId="6" borderId="0" applyBorder="0">
      <protection locked="0"/>
    </xf>
    <xf numFmtId="9" fontId="17" fillId="0" borderId="0" applyBorder="0"/>
    <xf numFmtId="9" fontId="19" fillId="6" borderId="5">
      <protection locked="0"/>
    </xf>
    <xf numFmtId="9" fontId="19" fillId="0" borderId="5"/>
    <xf numFmtId="9" fontId="19" fillId="7" borderId="5">
      <protection locked="0"/>
    </xf>
    <xf numFmtId="9" fontId="17" fillId="7" borderId="0" applyBorder="0">
      <protection locked="0"/>
    </xf>
    <xf numFmtId="166" fontId="19" fillId="6" borderId="0" applyBorder="0">
      <protection locked="0"/>
    </xf>
    <xf numFmtId="166" fontId="19" fillId="0" borderId="0" applyBorder="0"/>
    <xf numFmtId="166" fontId="19" fillId="7" borderId="0" applyBorder="0">
      <protection locked="0"/>
    </xf>
    <xf numFmtId="166" fontId="17" fillId="6" borderId="0" applyBorder="0">
      <protection locked="0"/>
    </xf>
    <xf numFmtId="166" fontId="17" fillId="0" borderId="0" applyBorder="0"/>
    <xf numFmtId="166" fontId="19" fillId="6" borderId="5">
      <protection locked="0"/>
    </xf>
    <xf numFmtId="166" fontId="19" fillId="0" borderId="5"/>
    <xf numFmtId="166" fontId="19" fillId="7" borderId="5">
      <protection locked="0"/>
    </xf>
    <xf numFmtId="166" fontId="17" fillId="7" borderId="0" applyBorder="0">
      <protection locked="0"/>
    </xf>
    <xf numFmtId="10" fontId="19" fillId="6" borderId="0" applyBorder="0">
      <protection locked="0"/>
    </xf>
    <xf numFmtId="10" fontId="19" fillId="0" borderId="0" applyBorder="0"/>
    <xf numFmtId="10" fontId="19" fillId="7" borderId="0">
      <protection locked="0"/>
    </xf>
    <xf numFmtId="10" fontId="17" fillId="6" borderId="0" applyBorder="0">
      <protection locked="0"/>
    </xf>
    <xf numFmtId="10" fontId="17" fillId="0" borderId="0" applyBorder="0"/>
    <xf numFmtId="10" fontId="19" fillId="6" borderId="5">
      <protection locked="0"/>
    </xf>
    <xf numFmtId="10" fontId="19" fillId="0" borderId="5"/>
    <xf numFmtId="10" fontId="19" fillId="7" borderId="5">
      <protection locked="0"/>
    </xf>
    <xf numFmtId="10" fontId="17" fillId="7" borderId="0" applyBorder="0">
      <protection locked="0"/>
    </xf>
    <xf numFmtId="168" fontId="19" fillId="6" borderId="0" applyBorder="0">
      <protection locked="0"/>
    </xf>
    <xf numFmtId="168" fontId="19" fillId="0" borderId="0" applyBorder="0"/>
    <xf numFmtId="168" fontId="19" fillId="7" borderId="0" applyBorder="0">
      <protection locked="0"/>
    </xf>
    <xf numFmtId="168" fontId="17" fillId="6" borderId="0" applyBorder="0">
      <protection locked="0"/>
    </xf>
    <xf numFmtId="168" fontId="17" fillId="0" borderId="0" applyBorder="0"/>
    <xf numFmtId="168" fontId="19" fillId="6" borderId="5">
      <protection locked="0"/>
    </xf>
    <xf numFmtId="168" fontId="19" fillId="0" borderId="5"/>
    <xf numFmtId="168" fontId="19" fillId="7" borderId="5">
      <protection locked="0"/>
    </xf>
    <xf numFmtId="168" fontId="17" fillId="7" borderId="0" applyBorder="0">
      <protection locked="0"/>
    </xf>
    <xf numFmtId="43" fontId="17" fillId="6" borderId="3">
      <protection locked="0"/>
    </xf>
    <xf numFmtId="0" fontId="17" fillId="8" borderId="0">
      <protection hidden="1"/>
    </xf>
    <xf numFmtId="169" fontId="19" fillId="6" borderId="3">
      <protection locked="0"/>
    </xf>
    <xf numFmtId="43" fontId="2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4" fontId="19" fillId="6" borderId="0" applyBorder="0">
      <alignment horizontal="center"/>
      <protection locked="0"/>
    </xf>
    <xf numFmtId="0" fontId="18" fillId="0" borderId="0" applyFont="0" applyFill="0" applyBorder="0" applyAlignment="0" applyProtection="0"/>
    <xf numFmtId="0" fontId="17" fillId="7" borderId="0">
      <protection locked="0"/>
    </xf>
    <xf numFmtId="0" fontId="27" fillId="9" borderId="0" applyBorder="0">
      <protection hidden="1"/>
    </xf>
    <xf numFmtId="0" fontId="23" fillId="10" borderId="0">
      <protection hidden="1"/>
    </xf>
    <xf numFmtId="38" fontId="22" fillId="0" borderId="0"/>
    <xf numFmtId="0" fontId="1" fillId="0" borderId="0"/>
    <xf numFmtId="0" fontId="17" fillId="0" borderId="0" applyBorder="0"/>
    <xf numFmtId="167" fontId="17" fillId="7" borderId="0" applyFill="0" applyBorder="0"/>
    <xf numFmtId="9" fontId="28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26" fillId="0" borderId="0"/>
    <xf numFmtId="173" fontId="19" fillId="6" borderId="7" applyBorder="0">
      <alignment horizontal="center"/>
      <protection locked="0"/>
    </xf>
    <xf numFmtId="175" fontId="19" fillId="6" borderId="0" applyBorder="0">
      <alignment horizontal="center"/>
      <protection locked="0"/>
    </xf>
    <xf numFmtId="175" fontId="19" fillId="0" borderId="7" applyBorder="0">
      <alignment horizontal="center"/>
    </xf>
    <xf numFmtId="0" fontId="20" fillId="0" borderId="39" applyBorder="0">
      <alignment horizontal="center"/>
    </xf>
    <xf numFmtId="0" fontId="19" fillId="7" borderId="3" applyBorder="0">
      <alignment horizontal="center" vertical="center"/>
      <protection locked="0"/>
    </xf>
    <xf numFmtId="0" fontId="17" fillId="6" borderId="0" applyBorder="0">
      <alignment horizontal="center"/>
      <protection locked="0"/>
    </xf>
    <xf numFmtId="0" fontId="19" fillId="11" borderId="5" applyBorder="0">
      <alignment horizontal="center" wrapText="1"/>
    </xf>
    <xf numFmtId="0" fontId="19" fillId="6" borderId="39">
      <alignment horizontal="center"/>
      <protection locked="0"/>
    </xf>
    <xf numFmtId="0" fontId="19" fillId="0" borderId="39">
      <alignment horizontal="center"/>
    </xf>
    <xf numFmtId="0" fontId="19" fillId="7" borderId="39">
      <alignment horizontal="center"/>
      <protection locked="0"/>
    </xf>
    <xf numFmtId="175" fontId="17" fillId="0" borderId="0" applyBorder="0">
      <alignment horizontal="center"/>
    </xf>
    <xf numFmtId="0" fontId="19" fillId="6" borderId="5">
      <alignment horizontal="center"/>
      <protection locked="0"/>
    </xf>
    <xf numFmtId="0" fontId="19" fillId="0" borderId="5">
      <alignment horizontal="center"/>
    </xf>
    <xf numFmtId="0" fontId="19" fillId="7" borderId="5">
      <alignment horizontal="center"/>
      <protection locked="0"/>
    </xf>
    <xf numFmtId="0" fontId="17" fillId="7" borderId="0" applyBorder="0">
      <alignment horizontal="center"/>
      <protection locked="0"/>
    </xf>
    <xf numFmtId="0" fontId="19" fillId="0" borderId="0" applyBorder="0">
      <alignment horizontal="center" wrapText="1"/>
    </xf>
    <xf numFmtId="175" fontId="17" fillId="6" borderId="0">
      <alignment horizontal="left" vertical="top" wrapText="1"/>
      <protection locked="0"/>
    </xf>
    <xf numFmtId="175" fontId="17" fillId="7" borderId="0">
      <alignment horizontal="left" vertical="top" wrapText="1"/>
      <protection locked="0"/>
    </xf>
    <xf numFmtId="175" fontId="24" fillId="0" borderId="0" applyBorder="0">
      <alignment horizontal="left"/>
    </xf>
    <xf numFmtId="0" fontId="25" fillId="0" borderId="0" applyBorder="0">
      <alignment horizontal="left"/>
    </xf>
    <xf numFmtId="0" fontId="21" fillId="0" borderId="40" applyBorder="0">
      <alignment horizontal="left" vertical="center"/>
    </xf>
    <xf numFmtId="0" fontId="23" fillId="0" borderId="0">
      <protection hidden="1"/>
    </xf>
    <xf numFmtId="0" fontId="19" fillId="6" borderId="0" applyBorder="0">
      <alignment horizontal="left"/>
      <protection locked="0"/>
    </xf>
    <xf numFmtId="0" fontId="19" fillId="0" borderId="0">
      <alignment horizontal="left" vertical="top"/>
    </xf>
    <xf numFmtId="0" fontId="19" fillId="7" borderId="0" applyBorder="0">
      <alignment horizontal="left"/>
      <protection locked="0"/>
    </xf>
    <xf numFmtId="0" fontId="17" fillId="6" borderId="0" applyBorder="0">
      <alignment horizontal="left"/>
      <protection locked="0"/>
    </xf>
    <xf numFmtId="0" fontId="19" fillId="11" borderId="5">
      <alignment horizontal="left"/>
    </xf>
    <xf numFmtId="0" fontId="19" fillId="6" borderId="39">
      <alignment horizontal="left"/>
      <protection locked="0"/>
    </xf>
    <xf numFmtId="0" fontId="19" fillId="0" borderId="0">
      <alignment horizontal="left"/>
    </xf>
    <xf numFmtId="0" fontId="19" fillId="7" borderId="39">
      <alignment horizontal="left"/>
      <protection locked="0"/>
    </xf>
    <xf numFmtId="175" fontId="17" fillId="0" borderId="40" applyBorder="0">
      <alignment horizontal="left"/>
    </xf>
    <xf numFmtId="0" fontId="19" fillId="6" borderId="5">
      <alignment horizontal="left"/>
      <protection locked="0"/>
    </xf>
    <xf numFmtId="0" fontId="19" fillId="0" borderId="5">
      <alignment horizontal="left"/>
    </xf>
    <xf numFmtId="0" fontId="19" fillId="7" borderId="5">
      <alignment horizontal="left"/>
      <protection locked="0"/>
    </xf>
    <xf numFmtId="175" fontId="17" fillId="7" borderId="0" applyBorder="0">
      <alignment horizontal="left"/>
      <protection locked="0"/>
    </xf>
    <xf numFmtId="175" fontId="17" fillId="7" borderId="0">
      <alignment horizontal="left" vertical="top" wrapText="1"/>
      <protection locked="0"/>
    </xf>
    <xf numFmtId="0" fontId="19" fillId="6" borderId="0" applyBorder="0">
      <alignment horizontal="right"/>
      <protection locked="0"/>
    </xf>
    <xf numFmtId="0" fontId="19" fillId="0" borderId="0" applyBorder="0">
      <alignment horizontal="right"/>
    </xf>
    <xf numFmtId="0" fontId="17" fillId="0" borderId="0"/>
    <xf numFmtId="0" fontId="19" fillId="7" borderId="0" applyBorder="0">
      <alignment horizontal="right"/>
      <protection locked="0"/>
    </xf>
    <xf numFmtId="0" fontId="17" fillId="6" borderId="0" applyBorder="0">
      <alignment horizontal="right"/>
      <protection locked="0"/>
    </xf>
    <xf numFmtId="0" fontId="19" fillId="11" borderId="5">
      <alignment horizontal="right"/>
    </xf>
    <xf numFmtId="0" fontId="19" fillId="6" borderId="39">
      <alignment horizontal="right"/>
      <protection locked="0"/>
    </xf>
    <xf numFmtId="0" fontId="19" fillId="0" borderId="39">
      <alignment horizontal="right"/>
    </xf>
    <xf numFmtId="0" fontId="19" fillId="7" borderId="39">
      <alignment horizontal="right"/>
      <protection locked="0"/>
    </xf>
    <xf numFmtId="0" fontId="17" fillId="0" borderId="0" applyBorder="0">
      <alignment horizontal="right"/>
    </xf>
    <xf numFmtId="0" fontId="19" fillId="6" borderId="5">
      <alignment horizontal="right"/>
      <protection locked="0"/>
    </xf>
    <xf numFmtId="0" fontId="19" fillId="0" borderId="5">
      <alignment horizontal="right"/>
    </xf>
    <xf numFmtId="0" fontId="19" fillId="7" borderId="5">
      <alignment horizontal="right"/>
      <protection locked="0"/>
    </xf>
    <xf numFmtId="0" fontId="17" fillId="7" borderId="0" applyBorder="0">
      <alignment horizontal="right"/>
      <protection locked="0"/>
    </xf>
    <xf numFmtId="172" fontId="17" fillId="7" borderId="0" applyBorder="0">
      <alignment horizontal="center"/>
      <protection locked="0"/>
    </xf>
    <xf numFmtId="177" fontId="6" fillId="8" borderId="0"/>
    <xf numFmtId="0" fontId="17" fillId="6" borderId="0">
      <alignment wrapText="1"/>
      <protection locked="0"/>
    </xf>
    <xf numFmtId="0" fontId="17" fillId="0" borderId="0" applyBorder="0"/>
    <xf numFmtId="169" fontId="17" fillId="6" borderId="0" applyBorder="0">
      <protection locked="0"/>
    </xf>
    <xf numFmtId="169" fontId="17" fillId="0" borderId="0" applyBorder="0"/>
    <xf numFmtId="169" fontId="17" fillId="7" borderId="0" applyBorder="0">
      <protection locked="0"/>
    </xf>
    <xf numFmtId="170" fontId="17" fillId="6" borderId="0" applyBorder="0">
      <protection locked="0"/>
    </xf>
    <xf numFmtId="170" fontId="17" fillId="0" borderId="0" applyBorder="0"/>
    <xf numFmtId="170" fontId="17" fillId="7" borderId="0" applyBorder="0">
      <protection locked="0"/>
    </xf>
    <xf numFmtId="171" fontId="17" fillId="6" borderId="0" applyBorder="0">
      <protection locked="0"/>
    </xf>
    <xf numFmtId="171" fontId="17" fillId="0" borderId="0" applyBorder="0"/>
    <xf numFmtId="171" fontId="17" fillId="7" borderId="0" applyBorder="0">
      <protection locked="0"/>
    </xf>
    <xf numFmtId="174" fontId="17" fillId="6" borderId="1" applyBorder="0">
      <protection locked="0"/>
    </xf>
    <xf numFmtId="176" fontId="17" fillId="0" borderId="0" applyBorder="0"/>
    <xf numFmtId="176" fontId="17" fillId="0" borderId="0" applyBorder="0"/>
    <xf numFmtId="176" fontId="17" fillId="0" borderId="0" applyBorder="0"/>
    <xf numFmtId="176" fontId="17" fillId="0" borderId="0" applyBorder="0"/>
    <xf numFmtId="176" fontId="17" fillId="7" borderId="0" applyBorder="0">
      <protection locked="0"/>
    </xf>
    <xf numFmtId="9" fontId="17" fillId="6" borderId="0" applyBorder="0">
      <protection locked="0"/>
    </xf>
    <xf numFmtId="9" fontId="17" fillId="0" borderId="0" applyBorder="0"/>
    <xf numFmtId="9" fontId="17" fillId="7" borderId="0" applyBorder="0">
      <protection locked="0"/>
    </xf>
    <xf numFmtId="166" fontId="17" fillId="6" borderId="0" applyBorder="0">
      <protection locked="0"/>
    </xf>
    <xf numFmtId="166" fontId="17" fillId="0" borderId="0" applyBorder="0"/>
    <xf numFmtId="166" fontId="17" fillId="7" borderId="0" applyBorder="0">
      <protection locked="0"/>
    </xf>
    <xf numFmtId="10" fontId="17" fillId="6" borderId="0" applyBorder="0">
      <protection locked="0"/>
    </xf>
    <xf numFmtId="10" fontId="17" fillId="0" borderId="0" applyBorder="0"/>
    <xf numFmtId="10" fontId="17" fillId="7" borderId="0" applyBorder="0">
      <protection locked="0"/>
    </xf>
    <xf numFmtId="168" fontId="17" fillId="6" borderId="0" applyBorder="0">
      <protection locked="0"/>
    </xf>
    <xf numFmtId="168" fontId="17" fillId="0" borderId="0" applyBorder="0"/>
    <xf numFmtId="168" fontId="17" fillId="7" borderId="0" applyBorder="0">
      <protection locked="0"/>
    </xf>
    <xf numFmtId="0" fontId="17" fillId="8" borderId="0">
      <protection hidden="1"/>
    </xf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" fillId="0" borderId="0"/>
    <xf numFmtId="0" fontId="17" fillId="0" borderId="0" applyBorder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6" borderId="0" applyBorder="0">
      <alignment horizontal="center"/>
      <protection locked="0"/>
    </xf>
    <xf numFmtId="175" fontId="17" fillId="0" borderId="0" applyBorder="0">
      <alignment horizontal="center"/>
    </xf>
    <xf numFmtId="0" fontId="17" fillId="7" borderId="0" applyBorder="0">
      <alignment horizontal="center"/>
      <protection locked="0"/>
    </xf>
    <xf numFmtId="175" fontId="17" fillId="6" borderId="0">
      <alignment horizontal="left" vertical="top" wrapText="1"/>
      <protection locked="0"/>
    </xf>
    <xf numFmtId="175" fontId="17" fillId="7" borderId="0">
      <alignment horizontal="left" vertical="top" wrapText="1"/>
      <protection locked="0"/>
    </xf>
    <xf numFmtId="0" fontId="17" fillId="6" borderId="0" applyBorder="0">
      <alignment horizontal="left"/>
      <protection locked="0"/>
    </xf>
    <xf numFmtId="175" fontId="17" fillId="0" borderId="40" applyBorder="0">
      <alignment horizontal="left"/>
    </xf>
    <xf numFmtId="175" fontId="17" fillId="7" borderId="0" applyBorder="0">
      <alignment horizontal="left"/>
      <protection locked="0"/>
    </xf>
    <xf numFmtId="175" fontId="17" fillId="7" borderId="0">
      <alignment horizontal="left" vertical="top" wrapText="1"/>
      <protection locked="0"/>
    </xf>
    <xf numFmtId="0" fontId="17" fillId="0" borderId="0"/>
    <xf numFmtId="0" fontId="17" fillId="6" borderId="0" applyBorder="0">
      <alignment horizontal="right"/>
      <protection locked="0"/>
    </xf>
    <xf numFmtId="0" fontId="17" fillId="0" borderId="0" applyBorder="0">
      <alignment horizontal="right"/>
    </xf>
    <xf numFmtId="0" fontId="17" fillId="7" borderId="0" applyBorder="0">
      <alignment horizontal="right"/>
      <protection locked="0"/>
    </xf>
    <xf numFmtId="0" fontId="1" fillId="0" borderId="0"/>
    <xf numFmtId="9" fontId="1" fillId="0" borderId="0" applyFont="0" applyFill="0" applyBorder="0" applyAlignment="0" applyProtection="0"/>
    <xf numFmtId="0" fontId="29" fillId="0" borderId="0"/>
    <xf numFmtId="43" fontId="1" fillId="0" borderId="0" applyFont="0" applyFill="0" applyBorder="0" applyAlignment="0" applyProtection="0"/>
    <xf numFmtId="0" fontId="1" fillId="0" borderId="0"/>
    <xf numFmtId="177" fontId="6" fillId="12" borderId="0"/>
    <xf numFmtId="0" fontId="1" fillId="0" borderId="0"/>
    <xf numFmtId="44" fontId="17" fillId="0" borderId="0" applyFont="0" applyFill="0" applyBorder="0" applyAlignment="0" applyProtection="0"/>
    <xf numFmtId="0" fontId="1" fillId="0" borderId="0"/>
    <xf numFmtId="0" fontId="1" fillId="0" borderId="0"/>
  </cellStyleXfs>
  <cellXfs count="109">
    <xf numFmtId="0" fontId="0" fillId="0" borderId="0" xfId="0"/>
    <xf numFmtId="17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165" fontId="8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165" fontId="7" fillId="0" borderId="3" xfId="0" applyNumberFormat="1" applyFont="1" applyBorder="1" applyAlignment="1">
      <alignment horizontal="center"/>
    </xf>
    <xf numFmtId="165" fontId="7" fillId="0" borderId="10" xfId="0" applyNumberFormat="1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12" xfId="0" applyFont="1" applyFill="1" applyBorder="1"/>
    <xf numFmtId="165" fontId="7" fillId="5" borderId="3" xfId="0" applyNumberFormat="1" applyFont="1" applyFill="1" applyBorder="1" applyAlignment="1">
      <alignment horizontal="center"/>
    </xf>
    <xf numFmtId="0" fontId="11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/>
    </xf>
    <xf numFmtId="0" fontId="7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2" fillId="0" borderId="2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17" fontId="12" fillId="0" borderId="0" xfId="0" applyNumberFormat="1" applyFont="1" applyAlignment="1">
      <alignment horizontal="center"/>
    </xf>
    <xf numFmtId="0" fontId="7" fillId="2" borderId="10" xfId="0" applyFont="1" applyFill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8" fillId="0" borderId="16" xfId="0" applyFont="1" applyBorder="1" applyAlignment="1">
      <alignment horizontal="left"/>
    </xf>
    <xf numFmtId="0" fontId="8" fillId="0" borderId="17" xfId="0" applyFont="1" applyBorder="1" applyAlignment="1">
      <alignment horizontal="center"/>
    </xf>
    <xf numFmtId="0" fontId="8" fillId="0" borderId="0" xfId="0" applyFont="1"/>
    <xf numFmtId="49" fontId="8" fillId="0" borderId="0" xfId="0" applyNumberFormat="1" applyFont="1" applyAlignment="1">
      <alignment horizontal="center"/>
    </xf>
    <xf numFmtId="165" fontId="12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0" xfId="0" applyNumberFormat="1" applyFont="1" applyAlignment="1">
      <alignment horizontal="center"/>
    </xf>
    <xf numFmtId="165" fontId="7" fillId="5" borderId="1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horizontal="center"/>
    </xf>
    <xf numFmtId="17" fontId="8" fillId="4" borderId="6" xfId="0" applyNumberFormat="1" applyFont="1" applyFill="1" applyBorder="1" applyAlignment="1">
      <alignment horizontal="center"/>
    </xf>
    <xf numFmtId="0" fontId="7" fillId="0" borderId="12" xfId="0" applyFont="1" applyBorder="1"/>
    <xf numFmtId="6" fontId="7" fillId="0" borderId="3" xfId="0" applyNumberFormat="1" applyFont="1" applyBorder="1" applyAlignment="1">
      <alignment horizontal="center"/>
    </xf>
    <xf numFmtId="6" fontId="7" fillId="0" borderId="1" xfId="0" applyNumberFormat="1" applyFont="1" applyBorder="1" applyAlignment="1">
      <alignment horizontal="center"/>
    </xf>
    <xf numFmtId="0" fontId="8" fillId="0" borderId="16" xfId="0" applyFont="1" applyBorder="1"/>
    <xf numFmtId="6" fontId="8" fillId="0" borderId="17" xfId="0" applyNumberFormat="1" applyFont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17" fontId="12" fillId="4" borderId="4" xfId="0" applyNumberFormat="1" applyFont="1" applyFill="1" applyBorder="1" applyAlignment="1">
      <alignment horizontal="center"/>
    </xf>
    <xf numFmtId="166" fontId="8" fillId="5" borderId="5" xfId="10" applyNumberFormat="1" applyFont="1" applyFill="1" applyBorder="1" applyAlignment="1">
      <alignment horizontal="center"/>
    </xf>
    <xf numFmtId="166" fontId="8" fillId="5" borderId="5" xfId="0" applyNumberFormat="1" applyFont="1" applyFill="1" applyBorder="1" applyAlignment="1">
      <alignment horizontal="center"/>
    </xf>
    <xf numFmtId="166" fontId="8" fillId="0" borderId="5" xfId="0" applyNumberFormat="1" applyFont="1" applyBorder="1" applyAlignment="1">
      <alignment horizontal="center"/>
    </xf>
    <xf numFmtId="166" fontId="8" fillId="0" borderId="9" xfId="0" applyNumberFormat="1" applyFont="1" applyBorder="1" applyAlignment="1">
      <alignment horizontal="center"/>
    </xf>
    <xf numFmtId="6" fontId="7" fillId="0" borderId="0" xfId="0" applyNumberFormat="1" applyFont="1" applyAlignment="1">
      <alignment horizontal="center"/>
    </xf>
    <xf numFmtId="6" fontId="8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center"/>
    </xf>
    <xf numFmtId="8" fontId="7" fillId="0" borderId="0" xfId="0" applyNumberFormat="1" applyFont="1" applyAlignment="1">
      <alignment horizontal="center"/>
    </xf>
    <xf numFmtId="8" fontId="8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165" fontId="12" fillId="5" borderId="0" xfId="0" applyNumberFormat="1" applyFont="1" applyFill="1" applyAlignment="1">
      <alignment horizontal="center"/>
    </xf>
    <xf numFmtId="17" fontId="14" fillId="5" borderId="0" xfId="0" applyNumberFormat="1" applyFont="1" applyFill="1" applyAlignment="1">
      <alignment horizontal="center" vertical="center"/>
    </xf>
    <xf numFmtId="17" fontId="12" fillId="5" borderId="0" xfId="0" applyNumberFormat="1" applyFont="1" applyFill="1" applyAlignment="1">
      <alignment horizontal="center"/>
    </xf>
    <xf numFmtId="165" fontId="8" fillId="5" borderId="0" xfId="0" applyNumberFormat="1" applyFont="1" applyFill="1" applyAlignment="1">
      <alignment horizontal="center"/>
    </xf>
    <xf numFmtId="164" fontId="7" fillId="0" borderId="21" xfId="0" applyNumberFormat="1" applyFont="1" applyBorder="1"/>
    <xf numFmtId="164" fontId="7" fillId="0" borderId="22" xfId="0" applyNumberFormat="1" applyFont="1" applyBorder="1"/>
    <xf numFmtId="164" fontId="8" fillId="0" borderId="23" xfId="0" applyNumberFormat="1" applyFont="1" applyBorder="1"/>
    <xf numFmtId="165" fontId="7" fillId="5" borderId="7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/>
    </xf>
    <xf numFmtId="6" fontId="8" fillId="5" borderId="0" xfId="0" applyNumberFormat="1" applyFont="1" applyFill="1" applyAlignment="1">
      <alignment horizontal="center"/>
    </xf>
    <xf numFmtId="0" fontId="7" fillId="0" borderId="21" xfId="0" applyFont="1" applyBorder="1"/>
    <xf numFmtId="164" fontId="7" fillId="0" borderId="23" xfId="0" applyNumberFormat="1" applyFont="1" applyBorder="1"/>
    <xf numFmtId="0" fontId="8" fillId="3" borderId="20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6" fontId="7" fillId="0" borderId="24" xfId="0" applyNumberFormat="1" applyFont="1" applyBorder="1" applyAlignment="1">
      <alignment horizontal="center"/>
    </xf>
    <xf numFmtId="6" fontId="8" fillId="0" borderId="25" xfId="0" applyNumberFormat="1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center"/>
    </xf>
    <xf numFmtId="164" fontId="8" fillId="0" borderId="0" xfId="0" applyNumberFormat="1" applyFont="1"/>
    <xf numFmtId="164" fontId="12" fillId="0" borderId="15" xfId="0" applyNumberFormat="1" applyFont="1" applyBorder="1" applyAlignment="1">
      <alignment horizontal="center"/>
    </xf>
    <xf numFmtId="164" fontId="12" fillId="0" borderId="27" xfId="0" applyNumberFormat="1" applyFont="1" applyBorder="1" applyAlignment="1">
      <alignment horizontal="center"/>
    </xf>
    <xf numFmtId="164" fontId="12" fillId="0" borderId="18" xfId="0" applyNumberFormat="1" applyFont="1" applyBorder="1" applyAlignment="1">
      <alignment horizontal="center"/>
    </xf>
    <xf numFmtId="0" fontId="5" fillId="3" borderId="13" xfId="0" applyFont="1" applyFill="1" applyBorder="1"/>
    <xf numFmtId="164" fontId="12" fillId="0" borderId="14" xfId="0" applyNumberFormat="1" applyFont="1" applyBorder="1" applyAlignment="1">
      <alignment horizontal="center"/>
    </xf>
    <xf numFmtId="1" fontId="12" fillId="4" borderId="26" xfId="0" applyNumberFormat="1" applyFont="1" applyFill="1" applyBorder="1" applyAlignment="1">
      <alignment horizontal="center"/>
    </xf>
    <xf numFmtId="0" fontId="8" fillId="2" borderId="13" xfId="0" applyFont="1" applyFill="1" applyBorder="1" applyAlignment="1">
      <alignment horizontal="left"/>
    </xf>
    <xf numFmtId="6" fontId="8" fillId="0" borderId="18" xfId="0" applyNumberFormat="1" applyFont="1" applyBorder="1" applyAlignment="1">
      <alignment horizontal="center"/>
    </xf>
    <xf numFmtId="6" fontId="8" fillId="0" borderId="3" xfId="0" applyNumberFormat="1" applyFont="1" applyBorder="1" applyAlignment="1">
      <alignment horizontal="center"/>
    </xf>
    <xf numFmtId="0" fontId="9" fillId="4" borderId="29" xfId="0" applyFont="1" applyFill="1" applyBorder="1" applyAlignment="1">
      <alignment horizontal="center" vertical="center"/>
    </xf>
    <xf numFmtId="0" fontId="9" fillId="4" borderId="30" xfId="0" applyFont="1" applyFill="1" applyBorder="1" applyAlignment="1">
      <alignment horizontal="center" vertical="center"/>
    </xf>
    <xf numFmtId="17" fontId="9" fillId="4" borderId="31" xfId="0" applyNumberFormat="1" applyFont="1" applyFill="1" applyBorder="1" applyAlignment="1">
      <alignment horizontal="center" vertical="center"/>
    </xf>
    <xf numFmtId="0" fontId="14" fillId="4" borderId="32" xfId="0" applyFont="1" applyFill="1" applyBorder="1" applyAlignment="1">
      <alignment horizontal="center" vertical="center"/>
    </xf>
    <xf numFmtId="3" fontId="9" fillId="4" borderId="33" xfId="0" applyNumberFormat="1" applyFont="1" applyFill="1" applyBorder="1" applyAlignment="1">
      <alignment horizontal="center" vertical="center"/>
    </xf>
    <xf numFmtId="0" fontId="12" fillId="0" borderId="34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2" fillId="5" borderId="2" xfId="0" applyFont="1" applyFill="1" applyBorder="1" applyAlignment="1">
      <alignment horizontal="center" vertical="center"/>
    </xf>
    <xf numFmtId="0" fontId="7" fillId="2" borderId="35" xfId="0" applyFont="1" applyFill="1" applyBorder="1"/>
    <xf numFmtId="0" fontId="7" fillId="2" borderId="36" xfId="0" applyFont="1" applyFill="1" applyBorder="1" applyAlignment="1">
      <alignment horizontal="center"/>
    </xf>
    <xf numFmtId="164" fontId="7" fillId="0" borderId="37" xfId="0" applyNumberFormat="1" applyFont="1" applyBorder="1"/>
    <xf numFmtId="8" fontId="7" fillId="5" borderId="28" xfId="0" applyNumberFormat="1" applyFont="1" applyFill="1" applyBorder="1" applyAlignment="1">
      <alignment horizontal="center"/>
    </xf>
    <xf numFmtId="164" fontId="8" fillId="0" borderId="17" xfId="0" applyNumberFormat="1" applyFont="1" applyBorder="1" applyAlignment="1">
      <alignment horizontal="center"/>
    </xf>
    <xf numFmtId="164" fontId="8" fillId="0" borderId="18" xfId="0" applyNumberFormat="1" applyFont="1" applyBorder="1" applyAlignment="1">
      <alignment horizontal="center"/>
    </xf>
    <xf numFmtId="164" fontId="12" fillId="0" borderId="38" xfId="0" applyNumberFormat="1" applyFont="1" applyBorder="1" applyAlignment="1">
      <alignment horizontal="center"/>
    </xf>
    <xf numFmtId="1" fontId="7" fillId="0" borderId="10" xfId="0" applyNumberFormat="1" applyFont="1" applyBorder="1" applyAlignment="1">
      <alignment horizontal="center"/>
    </xf>
    <xf numFmtId="1" fontId="7" fillId="0" borderId="3" xfId="0" applyNumberFormat="1" applyFont="1" applyBorder="1" applyAlignment="1">
      <alignment horizontal="center"/>
    </xf>
    <xf numFmtId="1" fontId="7" fillId="0" borderId="17" xfId="0" applyNumberFormat="1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1" fontId="7" fillId="0" borderId="3" xfId="0" quotePrefix="1" applyNumberFormat="1" applyFont="1" applyBorder="1" applyAlignment="1">
      <alignment horizontal="center"/>
    </xf>
    <xf numFmtId="1" fontId="7" fillId="5" borderId="3" xfId="0" applyNumberFormat="1" applyFont="1" applyFill="1" applyBorder="1" applyAlignment="1">
      <alignment horizontal="center"/>
    </xf>
    <xf numFmtId="1" fontId="7" fillId="5" borderId="36" xfId="0" applyNumberFormat="1" applyFont="1" applyFill="1" applyBorder="1" applyAlignment="1">
      <alignment horizontal="center"/>
    </xf>
    <xf numFmtId="165" fontId="7" fillId="0" borderId="7" xfId="0" applyNumberFormat="1" applyFont="1" applyBorder="1" applyAlignment="1">
      <alignment horizontal="center"/>
    </xf>
  </cellXfs>
  <cellStyles count="229">
    <cellStyle name="#_0_Bold_E" xfId="18" xr:uid="{1CBA2F40-7C80-494E-9B32-FAB0406E77D2}"/>
    <cellStyle name="#_0_Bold_R" xfId="19" xr:uid="{8001AE19-2354-46B7-B703-29ABCA52533E}"/>
    <cellStyle name="#_0_Bold_W" xfId="20" xr:uid="{051F07E6-1366-417D-AD39-7D11208D4AB1}"/>
    <cellStyle name="#_0_E" xfId="21" xr:uid="{664C4CB0-F820-49E0-A9AC-B628ED4CAD9C}"/>
    <cellStyle name="#_0_E 2" xfId="167" xr:uid="{91302D14-A8E2-4D40-8048-4CCEEB230C81}"/>
    <cellStyle name="#_0_R" xfId="22" xr:uid="{E5221C41-DF13-41E1-958D-B3A4940D4C62}"/>
    <cellStyle name="#_0_R 2" xfId="168" xr:uid="{94AE8968-8888-4CD1-A020-995F574742C4}"/>
    <cellStyle name="#_0_Total_E" xfId="23" xr:uid="{2314AE8E-3D8F-424E-997F-1F20833AEDE2}"/>
    <cellStyle name="#_0_Total_R" xfId="24" xr:uid="{2CECF052-EFF7-4380-9302-FCD0A335B117}"/>
    <cellStyle name="#_0_Total_W" xfId="25" xr:uid="{1A2BFCF8-7390-47FB-9EB5-7DA24FED509D}"/>
    <cellStyle name="#_0_W" xfId="26" xr:uid="{5DF9AB82-0885-47AA-9ECE-1227DF7CE7D2}"/>
    <cellStyle name="#_0_W 2" xfId="169" xr:uid="{12DB3395-ADE9-4037-A3E6-68C1A4E1FF38}"/>
    <cellStyle name="#_1_Bold_E" xfId="27" xr:uid="{FE7A3FA1-20DD-45C1-B4C6-EE3AB277EC1F}"/>
    <cellStyle name="#_1_Bold_R" xfId="28" xr:uid="{993F134D-3ECC-4CE4-9A5B-EAB5233D69BD}"/>
    <cellStyle name="#_1_Bold_W" xfId="29" xr:uid="{5692D4A8-7FB2-4F84-962A-53E8A28F52EC}"/>
    <cellStyle name="#_1_E" xfId="30" xr:uid="{4D1B6B06-B4F5-4E87-BF57-DF4A7CEB186E}"/>
    <cellStyle name="#_1_E 2" xfId="170" xr:uid="{9876C431-206F-4832-8C44-D2B242F1F7B6}"/>
    <cellStyle name="#_1_R" xfId="31" xr:uid="{923CFA71-4FBF-4E77-B264-04C61ED9CDBA}"/>
    <cellStyle name="#_1_R 2" xfId="171" xr:uid="{FD6EE413-58C3-4938-A14D-BCB88C992682}"/>
    <cellStyle name="#_1_Total_E" xfId="32" xr:uid="{D05C3450-A25E-4ED7-B035-028BC2C0C921}"/>
    <cellStyle name="#_1_Total_R" xfId="33" xr:uid="{5CF451AA-BF62-4809-A3CC-CFAE497A5C98}"/>
    <cellStyle name="#_1_Total_W" xfId="34" xr:uid="{EF006765-6113-4970-8D0F-9FA5778D15BA}"/>
    <cellStyle name="#_1_W" xfId="35" xr:uid="{04C7C08E-61FE-4AA8-A984-BE0D05C3202E}"/>
    <cellStyle name="#_1_W 2" xfId="172" xr:uid="{661FD707-6BED-4FE2-AF86-886B2A28EEB5}"/>
    <cellStyle name="#_2_Bold_E" xfId="36" xr:uid="{A04D86E2-95C1-47BA-9FBD-85D7FEED6BE6}"/>
    <cellStyle name="#_2_Bold_R" xfId="37" xr:uid="{C0B6756F-2CEB-4F5E-9986-B26D762EDEA0}"/>
    <cellStyle name="#_2_Bold_W" xfId="38" xr:uid="{1CB9B089-4600-4711-96F7-F56E21B56433}"/>
    <cellStyle name="#_2_E" xfId="39" xr:uid="{0E80E469-FE4C-4D84-BCE4-FDD596FD1759}"/>
    <cellStyle name="#_2_E 2" xfId="173" xr:uid="{8548B030-7AD8-4B4D-945C-A6B05D593921}"/>
    <cellStyle name="#_2_R" xfId="40" xr:uid="{A0C6A436-9AD5-4337-AECD-EBE72D300E45}"/>
    <cellStyle name="#_2_R 2" xfId="174" xr:uid="{B0A9562C-7DA7-4A32-8FFF-5D9B7DCA2C91}"/>
    <cellStyle name="#_2_Total_E" xfId="41" xr:uid="{A9C67201-E496-4437-934C-290613A869DB}"/>
    <cellStyle name="#_2_Total_R" xfId="42" xr:uid="{0A4DF48F-B562-4EC5-9060-72A4F98B05F8}"/>
    <cellStyle name="#_2_W" xfId="43" xr:uid="{7D0DAA93-42E0-4895-90AC-6A23F56A64B8}"/>
    <cellStyle name="#_2_W 2" xfId="175" xr:uid="{DB5D0421-218A-470C-BC78-091789EC1C85}"/>
    <cellStyle name="#_2_W_Total" xfId="44" xr:uid="{322F3B68-B02D-471C-8143-6793AE4BB486}"/>
    <cellStyle name="#_4_Bold_R" xfId="45" xr:uid="{8AD8014F-B999-4BBE-9205-28332BE8DFBD}"/>
    <cellStyle name="#_4_E" xfId="46" xr:uid="{73BAE4F0-C88E-4455-9807-D0AFC91437C4}"/>
    <cellStyle name="#_4_E 2" xfId="176" xr:uid="{063CD500-9E83-48F1-A682-253DF6FC4E09}"/>
    <cellStyle name="#_K_R" xfId="47" xr:uid="{41ACBD1B-3674-4413-AD68-3A3871E6607E}"/>
    <cellStyle name="#_K_R 2" xfId="48" xr:uid="{B25FC616-E7DB-43C9-A28E-C8C9FAA5814B}"/>
    <cellStyle name="#_K_R 2 2" xfId="49" xr:uid="{932EBCE9-2CDF-4524-8632-CB2CAAA771F7}"/>
    <cellStyle name="#_K_R 2 2 2" xfId="178" xr:uid="{FC4A53D4-A9C8-4DBA-95D4-9BFC1C65FB48}"/>
    <cellStyle name="#_K_R 2 3" xfId="177" xr:uid="{C1FC7338-6283-4316-9963-541F74B2EFAC}"/>
    <cellStyle name="#_K_R 3" xfId="50" xr:uid="{25B7D609-33BA-4A70-9911-6A26D46D56D7}"/>
    <cellStyle name="#_K_R 3 2" xfId="179" xr:uid="{496A606F-5B29-4CB3-8290-CC4172E48E82}"/>
    <cellStyle name="#_K_R 4" xfId="51" xr:uid="{809B2AF1-3E0F-40D9-9DC0-C25A49B732DA}"/>
    <cellStyle name="#_K_R 4 2" xfId="180" xr:uid="{290EFA32-5C50-49CD-A184-FAA132FD7CB7}"/>
    <cellStyle name="#_K_W" xfId="52" xr:uid="{51D095EB-6AC4-4D9F-B614-32C9E682BADD}"/>
    <cellStyle name="#_K_W 2" xfId="181" xr:uid="{EF4DF50D-89E6-41C0-993C-BBA0786B469B}"/>
    <cellStyle name="%_0_Bold_E" xfId="53" xr:uid="{D7678013-A573-4E0E-8039-BAEF99F25BAA}"/>
    <cellStyle name="%_0_Bold_R" xfId="54" xr:uid="{5ABF313F-871A-473F-9CC3-CB44F2B3A19F}"/>
    <cellStyle name="%_0_Bold_W" xfId="55" xr:uid="{2438CD66-53F1-4D36-B630-7BAA87E5E05F}"/>
    <cellStyle name="%_0_E" xfId="56" xr:uid="{4EF692C7-213B-4F1F-8A62-AFC1D2C5D91C}"/>
    <cellStyle name="%_0_E 2" xfId="182" xr:uid="{10AC6C0E-CE18-47AF-9033-0B47DFB9A549}"/>
    <cellStyle name="%_0_R" xfId="57" xr:uid="{1EAD40C7-019A-4A06-86B4-98F0C90A4D37}"/>
    <cellStyle name="%_0_R 2" xfId="183" xr:uid="{A158D8FB-F1AC-4F70-85B0-DFC27271E018}"/>
    <cellStyle name="%_0_Total_E" xfId="58" xr:uid="{6B9846AA-9C5C-41E9-89DC-29F4D834DDCF}"/>
    <cellStyle name="%_0_Total_R" xfId="59" xr:uid="{EF7F0B5A-C5B7-42F3-9D24-F1321CE4C756}"/>
    <cellStyle name="%_0_Total_W" xfId="60" xr:uid="{06AB6AD1-7B04-4B31-BA6E-04C252E628D4}"/>
    <cellStyle name="%_0_W" xfId="61" xr:uid="{3F0FDB8E-F3BC-4A84-B597-4889DC16452E}"/>
    <cellStyle name="%_0_W 2" xfId="184" xr:uid="{B01E1B54-FFCB-4C1D-A739-B57E0791CE81}"/>
    <cellStyle name="%_1_Bold_E" xfId="62" xr:uid="{AC2BD849-6A99-4F5F-9D93-853B2CDF1622}"/>
    <cellStyle name="%_1_Bold_R" xfId="63" xr:uid="{5C56462F-A090-4699-BE09-31B1313B1A64}"/>
    <cellStyle name="%_1_Bold_W" xfId="64" xr:uid="{1895EEED-DCD3-4038-A10F-5507644F5B29}"/>
    <cellStyle name="%_1_E" xfId="65" xr:uid="{B6262A8E-5BC3-4A30-AA90-6CF46871B4A3}"/>
    <cellStyle name="%_1_E 2" xfId="185" xr:uid="{07333B27-EEF9-4339-BC42-46B6FFBD63E7}"/>
    <cellStyle name="%_1_R" xfId="66" xr:uid="{DD25751A-DF41-434D-A457-22408B0B0AE0}"/>
    <cellStyle name="%_1_R 2" xfId="186" xr:uid="{456BF80F-D988-4957-8BC5-6E9786D1892A}"/>
    <cellStyle name="%_1_Total_E" xfId="67" xr:uid="{0501213B-577D-43AA-B029-0E4AF8DD8C0C}"/>
    <cellStyle name="%_1_Total_R" xfId="68" xr:uid="{5E6D41D1-7E54-483C-A445-3FBEF67285EF}"/>
    <cellStyle name="%_1_Total_W" xfId="69" xr:uid="{C09023AF-2326-47B9-8EE4-0BA7C2D009A4}"/>
    <cellStyle name="%_1_W" xfId="70" xr:uid="{84F0A8CF-4316-4C33-B1E1-28B77B0DB85A}"/>
    <cellStyle name="%_1_W 2" xfId="187" xr:uid="{4B459FD5-CC5A-4A94-B8AC-E00638FE96A9}"/>
    <cellStyle name="%_2_Bold_E" xfId="71" xr:uid="{7D4D8D9D-731E-42F6-8538-5E5686CB3AEF}"/>
    <cellStyle name="%_2_Bold_R" xfId="72" xr:uid="{D0E9E5DC-7A5F-42AE-A94A-2C90ED4B6D1C}"/>
    <cellStyle name="%_2_Bold_W" xfId="73" xr:uid="{BFE99273-CF88-4986-91A3-6B31DE036490}"/>
    <cellStyle name="%_2_E" xfId="74" xr:uid="{1FD4FC73-4CB3-439F-9386-DF68D9491EC9}"/>
    <cellStyle name="%_2_E 2" xfId="188" xr:uid="{4ED3D04A-423E-4413-81A7-6D47A0C3F811}"/>
    <cellStyle name="%_2_R" xfId="75" xr:uid="{C64255C3-0D02-45EF-B495-8A8A583FF13D}"/>
    <cellStyle name="%_2_R 2" xfId="189" xr:uid="{1276556E-DF8F-4495-AB08-79092C58C209}"/>
    <cellStyle name="%_2_Total_E" xfId="76" xr:uid="{475DC9FD-F132-4D64-8CB6-0CE7E78190D5}"/>
    <cellStyle name="%_2_Total_R" xfId="77" xr:uid="{20D5788C-B37E-49D7-84B7-91C4D7AEC1A5}"/>
    <cellStyle name="%_2_Total_W" xfId="78" xr:uid="{73D2A98B-F012-4300-B760-4328EFBBB250}"/>
    <cellStyle name="%_2_W" xfId="79" xr:uid="{B585A92A-F16A-438E-9811-16384367AE69}"/>
    <cellStyle name="%_2_W 2" xfId="190" xr:uid="{0D77E594-1D6F-4305-9F56-1779C1625BA4}"/>
    <cellStyle name="%_3_Bold_E" xfId="80" xr:uid="{7D43F2C4-54DA-47D1-8531-79D29BD8BE7E}"/>
    <cellStyle name="%_3_Bold_R" xfId="81" xr:uid="{70FEC594-9EC3-4678-9BC4-113ED52E245E}"/>
    <cellStyle name="%_3_Bold_W" xfId="82" xr:uid="{C4137AC5-A8D0-449C-9D7D-F9B787C4A32B}"/>
    <cellStyle name="%_3_E" xfId="83" xr:uid="{8C266977-8A93-4FAF-876C-EA1E38F5C9B1}"/>
    <cellStyle name="%_3_E 2" xfId="191" xr:uid="{1126078E-2211-4414-A423-0709CBA8CA51}"/>
    <cellStyle name="%_3_R" xfId="84" xr:uid="{6D75487E-B718-411D-8B8C-55F6A00FDC22}"/>
    <cellStyle name="%_3_R 2" xfId="192" xr:uid="{97BA8EA5-03D4-4D00-8FF0-C11D2ABE487A}"/>
    <cellStyle name="%_3_Total_E" xfId="85" xr:uid="{1399584A-B340-45EE-8132-0FCD1ABD8366}"/>
    <cellStyle name="%_3_Total_R" xfId="86" xr:uid="{3725FC39-9A10-4D31-B099-FEA3B9D4894E}"/>
    <cellStyle name="%_3_Total_W" xfId="87" xr:uid="{5A8897C6-D8D4-498A-8932-4E87CFDD0110}"/>
    <cellStyle name="%_3_W" xfId="88" xr:uid="{E7BA57D1-690A-48F7-BD48-E7E6D97AB95E}"/>
    <cellStyle name="%_3_W 2" xfId="193" xr:uid="{7574E506-E09A-4BEA-8AC0-92417EEEF665}"/>
    <cellStyle name="_mir-2000-Nov-03_eod " xfId="164" xr:uid="{DA713326-6392-4135-95A8-857872CFBF88}"/>
    <cellStyle name="_mir-2000-Nov-03_eod  2" xfId="224" xr:uid="{4D9B9114-402C-439C-B3C5-9D313867F19A}"/>
    <cellStyle name="Accounting_BoxEdit" xfId="89" xr:uid="{FAFC708B-1DE6-45D6-BBCB-D1E7F6F30490}"/>
    <cellStyle name="BlackBorder" xfId="90" xr:uid="{E1CDCB2F-9CC8-44A8-9BB4-FE3C513F215B}"/>
    <cellStyle name="BlackBorder 2" xfId="194" xr:uid="{57293CA4-4771-4EC8-8614-810A86C91552}"/>
    <cellStyle name="CF_#_0_Box_E" xfId="91" xr:uid="{45E43AE3-0630-4B1A-ACA9-3FE337219879}"/>
    <cellStyle name="Comma 2" xfId="2" xr:uid="{00000000-0005-0000-0000-000000000000}"/>
    <cellStyle name="Comma 2 2" xfId="5" xr:uid="{00000000-0005-0000-0000-000001000000}"/>
    <cellStyle name="Comma 2 2 2" xfId="9" xr:uid="{00000000-0005-0000-0000-000002000000}"/>
    <cellStyle name="Comma 2 3" xfId="7" xr:uid="{00000000-0005-0000-0000-000003000000}"/>
    <cellStyle name="Comma 2 4" xfId="92" xr:uid="{BB07A2A8-A30E-437B-9611-E981AACA5430}"/>
    <cellStyle name="Comma 3" xfId="93" xr:uid="{98BC14E5-3A67-4946-B8FE-88226C66557D}"/>
    <cellStyle name="Comma 3 2" xfId="195" xr:uid="{556FC710-B3BD-4942-86B0-732A941F8099}"/>
    <cellStyle name="Comma 4" xfId="94" xr:uid="{5C189775-9E8D-4ADA-B233-CA2296CC383E}"/>
    <cellStyle name="Comma 4 2" xfId="95" xr:uid="{E6E5DAE9-F33B-410B-A772-17280ED49724}"/>
    <cellStyle name="Comma 4 2 2" xfId="197" xr:uid="{148042DA-9630-4B62-BEC9-82EF5312E5C6}"/>
    <cellStyle name="Comma 4 3" xfId="196" xr:uid="{B3E3332F-15B5-4022-A5A8-F7256BA9B092}"/>
    <cellStyle name="Comma 5" xfId="96" xr:uid="{F911882F-1D45-46A6-902A-74BB99F2C82A}"/>
    <cellStyle name="Comma 5 2" xfId="198" xr:uid="{68A6DFE1-9335-4DDD-9DBD-9B4D32A84273}"/>
    <cellStyle name="Comma 6" xfId="222" xr:uid="{CA370BA3-00C0-4F93-8D82-9CE8A90B0D34}"/>
    <cellStyle name="Comma 7" xfId="17" xr:uid="{CA184EB0-FD1B-46AD-9984-578B9CEBEF13}"/>
    <cellStyle name="Currency 2" xfId="97" xr:uid="{1C19BA93-CA5B-47C8-917C-07F30D310B33}"/>
    <cellStyle name="Currency 2 2" xfId="199" xr:uid="{01B4628B-F8C4-4DD5-A6EC-F60468342FD6}"/>
    <cellStyle name="Currency 3" xfId="226" xr:uid="{380F0305-60E7-473F-9598-D4AFCE8C5909}"/>
    <cellStyle name="Date_Bold_E" xfId="98" xr:uid="{C0DDD5E7-80E1-45A9-B2FC-47F608A3DA61}"/>
    <cellStyle name="Euro" xfId="99" xr:uid="{F640BC26-73A8-4878-A6DE-74E4E503CE7D}"/>
    <cellStyle name="General_Edit" xfId="165" xr:uid="{CCE0CAF2-B8CA-47E7-8146-324A2D802ADB}"/>
    <cellStyle name="Generall_Write" xfId="100" xr:uid="{0C9A0D6B-BE8A-4653-B114-04AAD763A911}"/>
    <cellStyle name="GrayToolbar" xfId="101" xr:uid="{13E54CF1-1D54-43B7-8976-B52DAB8A80D1}"/>
    <cellStyle name="Hidden_Formula" xfId="102" xr:uid="{F987AEB0-D6B7-4D92-97C9-31B9AF004D80}"/>
    <cellStyle name="NACC" xfId="103" xr:uid="{23831E50-DF53-45BE-91B8-700B3180E3D8}"/>
    <cellStyle name="Normal" xfId="0" builtinId="0"/>
    <cellStyle name="Normal 11" xfId="12" xr:uid="{158B0980-9022-440B-A655-B392551FE389}"/>
    <cellStyle name="Normal 12" xfId="14" xr:uid="{569CCFFB-8541-420B-BA0E-3DD1E10B1A8E}"/>
    <cellStyle name="Normal 2" xfId="1" xr:uid="{00000000-0005-0000-0000-000005000000}"/>
    <cellStyle name="Normal 2 2" xfId="4" xr:uid="{00000000-0005-0000-0000-000006000000}"/>
    <cellStyle name="Normal 2 2 2" xfId="8" xr:uid="{00000000-0005-0000-0000-000007000000}"/>
    <cellStyle name="Normal 2 2 2 2" xfId="225" xr:uid="{C142AD83-E67F-4F11-9DD8-695B3C5F2C27}"/>
    <cellStyle name="Normal 2 2 3" xfId="200" xr:uid="{E6752D42-FAB6-448B-9A7C-D1049C93232D}"/>
    <cellStyle name="Normal 2 3" xfId="6" xr:uid="{00000000-0005-0000-0000-000008000000}"/>
    <cellStyle name="Normal 2 3 2" xfId="223" xr:uid="{4E46A013-769D-43CD-9365-74E2E387C9FA}"/>
    <cellStyle name="Normal 2 4" xfId="104" xr:uid="{549E0887-389C-4A42-ACB4-B543E232ADA1}"/>
    <cellStyle name="Normal 3" xfId="3" xr:uid="{00000000-0005-0000-0000-000009000000}"/>
    <cellStyle name="Normal 3 2" xfId="201" xr:uid="{43F82DEB-D179-47D8-A681-A96FFB87B578}"/>
    <cellStyle name="Normal 3 3" xfId="221" xr:uid="{5C469B89-987E-4353-BD85-9DA12C945B46}"/>
    <cellStyle name="Normal 3 4" xfId="105" xr:uid="{68037C76-6473-458B-9861-1F9FC1586427}"/>
    <cellStyle name="Normal 4" xfId="11" xr:uid="{00000000-0005-0000-0000-00000A000000}"/>
    <cellStyle name="Normal 4 2" xfId="166" xr:uid="{00FAF8EB-A877-4559-94C4-0DB9D8398B97}"/>
    <cellStyle name="Normal 5" xfId="219" xr:uid="{7AE5AFF4-273E-4F53-914D-77122B80558F}"/>
    <cellStyle name="Normal 5 2" xfId="228" xr:uid="{53C2D20F-CB85-4242-8557-C9F73CFD18E6}"/>
    <cellStyle name="Normal 6" xfId="227" xr:uid="{BFD8272E-AD4C-467E-904A-87D3E46F4B93}"/>
    <cellStyle name="Normal 7" xfId="15" xr:uid="{A9CB9503-C622-4616-A7E0-EAE9D9F93818}"/>
    <cellStyle name="Normal 9" xfId="13" xr:uid="{20A734AA-6A08-483D-ACAA-FAA59637D327}"/>
    <cellStyle name="OS_Currency_R" xfId="106" xr:uid="{A3AEE6C5-85A5-42B0-B173-EF8C079B35A3}"/>
    <cellStyle name="Percent" xfId="10" builtinId="5"/>
    <cellStyle name="Percent 2" xfId="107" xr:uid="{DDE93C0C-7D92-4369-A899-319C19798E28}"/>
    <cellStyle name="Percent 3" xfId="108" xr:uid="{57C364F3-E7CF-4EC2-BE2D-20F51AB4C336}"/>
    <cellStyle name="Percent 3 2" xfId="202" xr:uid="{464DCBF5-0727-420E-A7D2-ED9F316FE5FE}"/>
    <cellStyle name="Percent 4" xfId="109" xr:uid="{19C109E8-C00B-4D41-9FCF-89AC62B64C84}"/>
    <cellStyle name="Percent 4 2" xfId="110" xr:uid="{F418833E-628B-4571-ADF4-DC4E55F60291}"/>
    <cellStyle name="Percent 4 2 2" xfId="204" xr:uid="{D188E243-563C-4598-80E6-3F6B4E667059}"/>
    <cellStyle name="Percent 4 3" xfId="203" xr:uid="{E8BD10FC-C55B-4041-A483-289FBEC88F8B}"/>
    <cellStyle name="Percent 5" xfId="111" xr:uid="{213FE3F2-8FA0-4669-89B2-798BE3041839}"/>
    <cellStyle name="Percent 5 2" xfId="205" xr:uid="{F56E4009-F149-4F4C-A2B8-59CF47CB6B4A}"/>
    <cellStyle name="Percent 6" xfId="220" xr:uid="{18773143-CDB2-4087-BC42-482943678F54}"/>
    <cellStyle name="Percent 7" xfId="16" xr:uid="{42914217-96AA-4EAF-9473-8BA5E9878EDA}"/>
    <cellStyle name="PropertyNameHeader" xfId="112" xr:uid="{8EEC8914-76E0-4C71-A95C-B9165BCC07C5}"/>
    <cellStyle name="RR_LoanTermYears" xfId="113" xr:uid="{C4C6365A-903B-40BE-9479-B672BE16595B}"/>
    <cellStyle name="T_Center_Bold_E" xfId="114" xr:uid="{B9DD58C7-3150-455E-B000-BDEA6BBACE25}"/>
    <cellStyle name="T_Center_Bold_R" xfId="115" xr:uid="{69DB6C51-21A2-4EFE-ABC9-180E04FDD146}"/>
    <cellStyle name="T_Center_Bold_Red" xfId="116" xr:uid="{79C7BCB1-749C-4FC9-9BD8-245F9F2512C8}"/>
    <cellStyle name="T_Center_Bold_W" xfId="117" xr:uid="{85C9414A-527C-4A2D-A7DC-1176FA088844}"/>
    <cellStyle name="T_Center_E" xfId="118" xr:uid="{1D892FD3-F8CB-49F0-AC73-C9A6D920D1C4}"/>
    <cellStyle name="T_Center_E 2" xfId="206" xr:uid="{3E049236-8E31-4C5C-9053-8733A850DAAD}"/>
    <cellStyle name="T_Center_Gray" xfId="119" xr:uid="{E6245FD9-1023-4741-9A9C-FB5A64CF8F2C}"/>
    <cellStyle name="T_Center_Header_E" xfId="120" xr:uid="{6EBFFC16-396B-4729-965E-6C8F313970D6}"/>
    <cellStyle name="T_Center_Header_R" xfId="121" xr:uid="{507F3AF9-E35B-49D7-AD0F-ABA1DC980A2D}"/>
    <cellStyle name="T_Center_Header_W" xfId="122" xr:uid="{FFBD24BC-BD5C-47C8-8CFE-9AED98C6B663}"/>
    <cellStyle name="T_Center_R" xfId="123" xr:uid="{2D4F279B-C5E7-4CD3-97AF-7F14555D3AE7}"/>
    <cellStyle name="T_Center_R 2" xfId="207" xr:uid="{DBDEE929-5C54-47D1-BD68-4314D00DD0E4}"/>
    <cellStyle name="T_Center_Total_E" xfId="124" xr:uid="{7CB01217-916B-4FA7-90B3-2319663573F6}"/>
    <cellStyle name="T_Center_Total_R" xfId="125" xr:uid="{8A20ABD5-190B-4743-8D49-B938AA553E7D}"/>
    <cellStyle name="T_Center_Total_W" xfId="126" xr:uid="{A9D3E8D6-8C56-4707-8579-4272A9A63ED7}"/>
    <cellStyle name="T_Center_W" xfId="127" xr:uid="{0DEA6651-CB29-487E-AB53-80CF3329AD0C}"/>
    <cellStyle name="T_Center_W 2" xfId="208" xr:uid="{523ED818-4F16-40DD-BBDF-F4979A05DED2}"/>
    <cellStyle name="T_CenterW_Bold_R" xfId="128" xr:uid="{DB42BE35-37F6-44F0-ABD8-9BD175B924F7}"/>
    <cellStyle name="T_Comment_E" xfId="129" xr:uid="{8DF7CC13-DFBB-4595-9CC4-DE424AB1EF59}"/>
    <cellStyle name="T_Comment_E 2" xfId="209" xr:uid="{E02DEAAE-C7F4-4BF2-9570-2F0FEF349B87}"/>
    <cellStyle name="T_Comment_W" xfId="130" xr:uid="{00B0D5D6-89CD-4134-A6AB-895B142D0022}"/>
    <cellStyle name="T_Comment_W 2" xfId="210" xr:uid="{D8B26F35-765E-449B-8D38-CF95423AA52F}"/>
    <cellStyle name="T_Header_Identity" xfId="131" xr:uid="{646B300A-221D-4B72-AEE2-9C2759D0D994}"/>
    <cellStyle name="T_Header_Sheet" xfId="132" xr:uid="{30495995-AD12-4420-9E2D-16202F74E4C9}"/>
    <cellStyle name="T_Header_Table" xfId="133" xr:uid="{69543280-ED05-41E8-9CEE-D9473BA74F6C}"/>
    <cellStyle name="T_Hidden_R" xfId="134" xr:uid="{B7633BBD-A059-499F-98F9-5F91E0EAC83A}"/>
    <cellStyle name="T_Left_Bold_E" xfId="135" xr:uid="{70E0A575-05EC-419C-ABB7-966D23F7F28E}"/>
    <cellStyle name="T_Left_Bold_R" xfId="136" xr:uid="{21BF3408-93A6-4CBA-8432-76ED09E5F538}"/>
    <cellStyle name="T_Left_Bold_W" xfId="137" xr:uid="{B49614B2-6F5D-42BB-B0C1-BE4001119555}"/>
    <cellStyle name="T_Left_E" xfId="138" xr:uid="{98B665FE-7CBC-4166-AF03-230BFE551E2D}"/>
    <cellStyle name="T_Left_E 2" xfId="211" xr:uid="{2F06338E-550C-4B69-B506-2B6FE445D0FE}"/>
    <cellStyle name="T_Left_Gray" xfId="139" xr:uid="{22D2413A-27BA-412B-A5BF-E79FABF4255B}"/>
    <cellStyle name="T_Left_Header_E" xfId="140" xr:uid="{657F0C53-2A42-462C-BEBA-E69469269A26}"/>
    <cellStyle name="T_Left_Header_R" xfId="141" xr:uid="{66BC4305-D144-4FB3-AADC-AB04F4E1CB2B}"/>
    <cellStyle name="T_Left_Header_W" xfId="142" xr:uid="{06F24AD9-07E7-4F1A-BA30-D7E05CA6302E}"/>
    <cellStyle name="T_Left_R" xfId="143" xr:uid="{45BED716-6915-4281-9B03-88908B0B9C9A}"/>
    <cellStyle name="T_Left_R 2" xfId="212" xr:uid="{12C54417-3693-4385-9EF3-E9ABD352CA5B}"/>
    <cellStyle name="T_Left_Total_E" xfId="144" xr:uid="{DD0DD4BC-7F89-4A7C-BD2E-1254355CBE63}"/>
    <cellStyle name="T_Left_Total_R" xfId="145" xr:uid="{7EBDCB87-253A-4015-9DAF-406FEEF465F4}"/>
    <cellStyle name="T_Left_Total_W" xfId="146" xr:uid="{DDBBE188-58FD-4500-9FB7-180EF3D96719}"/>
    <cellStyle name="T_Left_W" xfId="147" xr:uid="{A26B40EE-D1B7-4FFD-898F-110F8D0F423E}"/>
    <cellStyle name="T_Left_W 2" xfId="213" xr:uid="{F231378E-D4A1-485C-B9C9-9F98681425A5}"/>
    <cellStyle name="T_LeftTop_W" xfId="148" xr:uid="{3D06E189-D460-43F7-B209-C8C42C53105E}"/>
    <cellStyle name="T_LeftTop_W 2" xfId="214" xr:uid="{50BC02A3-9D27-4D9A-969E-E517469AA7BB}"/>
    <cellStyle name="T_Right_Bold_E" xfId="149" xr:uid="{E77E2302-0FD2-445E-99E0-489B77D82229}"/>
    <cellStyle name="T_Right_Bold_R" xfId="150" xr:uid="{5A6EA8A7-C2F9-4D5A-A864-BBB334FCCEE9}"/>
    <cellStyle name="T_Right_Bold_R:" xfId="151" xr:uid="{40228C56-41B0-4ED8-B55B-B6829E207E3A}"/>
    <cellStyle name="T_Right_Bold_R: 2" xfId="215" xr:uid="{9DC3DB55-463C-489C-A90C-DACF39463372}"/>
    <cellStyle name="T_Right_Bold_W" xfId="152" xr:uid="{1450F3DE-469F-40E7-B0F7-4D6B49263B50}"/>
    <cellStyle name="T_Right_E" xfId="153" xr:uid="{95958FFD-C017-4B69-8C08-3E62315AD192}"/>
    <cellStyle name="T_Right_E 2" xfId="216" xr:uid="{B392DBCA-9432-4BDD-8C14-1BF11EB8BB79}"/>
    <cellStyle name="T_Right_Gray" xfId="154" xr:uid="{D3D2CA24-C069-4CB1-A168-A099D4A3E5F2}"/>
    <cellStyle name="T_Right_Header_E" xfId="155" xr:uid="{9E822033-C1A3-4DD2-BB6D-5F066A00FBC5}"/>
    <cellStyle name="T_Right_Header_R" xfId="156" xr:uid="{3D1819F9-17FC-40E2-9D33-B3FC1DD73FF7}"/>
    <cellStyle name="T_Right_Header_W" xfId="157" xr:uid="{C10F4992-BD31-4BBB-8172-AED3DE7A8517}"/>
    <cellStyle name="T_Right_R" xfId="158" xr:uid="{A76F3F6A-91E1-4BED-B5FB-7A6A83404C46}"/>
    <cellStyle name="T_Right_R 2" xfId="217" xr:uid="{F33E8E31-0AA6-4F78-AA5C-A6AA5F73BF9E}"/>
    <cellStyle name="T_Right_Total_E" xfId="159" xr:uid="{1AB025AD-502E-413F-A616-66C744DFD895}"/>
    <cellStyle name="T_Right_Total_R" xfId="160" xr:uid="{90B7C3FE-4C7B-443B-AE21-8DBCFFF5BC9C}"/>
    <cellStyle name="T_Right_Total_W" xfId="161" xr:uid="{D89BE6DA-6BD2-40DE-94BE-87393168B552}"/>
    <cellStyle name="T_Right_W" xfId="162" xr:uid="{E035A921-1C0E-4B09-AA25-06DFC02058A5}"/>
    <cellStyle name="T_Right_W 2" xfId="218" xr:uid="{628F0BDC-2597-45A9-A823-74E6327B35D5}"/>
    <cellStyle name="ZipCode_W" xfId="163" xr:uid="{8D8A989C-6545-4119-98D9-265A423EEC83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9057E-922B-4E01-91C5-95334C6260D3}">
  <sheetPr>
    <tabColor theme="4"/>
  </sheetPr>
  <dimension ref="A1:AD69"/>
  <sheetViews>
    <sheetView showGridLines="0" tabSelected="1" zoomScale="85" zoomScaleNormal="85" workbookViewId="0">
      <pane xSplit="4" ySplit="6" topLeftCell="J18" activePane="bottomRight" state="frozen"/>
      <selection pane="topRight" activeCell="F1" sqref="F1"/>
      <selection pane="bottomLeft" activeCell="A7" sqref="A7"/>
      <selection pane="bottomRight" activeCell="J69" sqref="J69"/>
    </sheetView>
  </sheetViews>
  <sheetFormatPr defaultRowHeight="12.75" outlineLevelCol="1" x14ac:dyDescent="0.2"/>
  <cols>
    <col min="1" max="1" width="2.5703125" style="14" customWidth="1"/>
    <col min="2" max="2" width="34.28515625" style="2" customWidth="1"/>
    <col min="3" max="3" width="38.42578125" style="2" bestFit="1" customWidth="1"/>
    <col min="4" max="4" width="23.7109375" style="2" bestFit="1" customWidth="1"/>
    <col min="5" max="5" width="13.28515625" style="2" hidden="1" customWidth="1" outlineLevel="1"/>
    <col min="6" max="6" width="12.85546875" style="2" hidden="1" customWidth="1" outlineLevel="1" collapsed="1"/>
    <col min="7" max="7" width="13.140625" style="2" hidden="1" customWidth="1" outlineLevel="1"/>
    <col min="8" max="8" width="13.5703125" style="2" hidden="1" customWidth="1" outlineLevel="1"/>
    <col min="9" max="9" width="13.140625" style="2" hidden="1" customWidth="1" outlineLevel="1"/>
    <col min="10" max="10" width="13.85546875" style="2" bestFit="1" customWidth="1" collapsed="1"/>
    <col min="11" max="11" width="13.140625" style="2" bestFit="1" customWidth="1"/>
    <col min="12" max="12" width="12.28515625" style="2" bestFit="1" customWidth="1"/>
    <col min="13" max="13" width="13.42578125" style="2" bestFit="1" customWidth="1"/>
    <col min="14" max="14" width="13.28515625" style="2" bestFit="1" customWidth="1"/>
    <col min="15" max="15" width="12.85546875" style="2" bestFit="1" customWidth="1"/>
    <col min="16" max="16" width="13.5703125" style="2" bestFit="1" customWidth="1"/>
    <col min="17" max="17" width="13.28515625" style="2" bestFit="1" customWidth="1"/>
    <col min="18" max="18" width="12.85546875" style="2" bestFit="1" customWidth="1"/>
    <col min="19" max="19" width="13.140625" style="2" customWidth="1"/>
    <col min="20" max="20" width="13.5703125" style="2" bestFit="1" customWidth="1"/>
    <col min="21" max="21" width="13.140625" style="2" customWidth="1"/>
    <col min="22" max="22" width="13.85546875" style="2" bestFit="1" customWidth="1"/>
    <col min="23" max="24" width="13.140625" style="2" customWidth="1"/>
    <col min="25" max="25" width="12.140625" style="13" bestFit="1" customWidth="1"/>
    <col min="26" max="26" width="12.7109375" style="13" hidden="1" customWidth="1" outlineLevel="1"/>
    <col min="27" max="27" width="17.140625" style="14" bestFit="1" customWidth="1" collapsed="1"/>
    <col min="28" max="28" width="9.140625" style="14"/>
    <col min="29" max="29" width="10.28515625" style="14" bestFit="1" customWidth="1"/>
    <col min="30" max="16384" width="9.140625" style="14"/>
  </cols>
  <sheetData>
    <row r="1" spans="2:27" ht="18.75" x14ac:dyDescent="0.3">
      <c r="B1" s="11" t="s">
        <v>0</v>
      </c>
      <c r="C1" s="12" t="s">
        <v>23</v>
      </c>
    </row>
    <row r="2" spans="2:27" x14ac:dyDescent="0.2">
      <c r="B2" s="15" t="s">
        <v>1</v>
      </c>
      <c r="C2" s="16" t="s">
        <v>24</v>
      </c>
      <c r="E2" s="2">
        <f t="shared" ref="E2:F2" si="0">MONTH(E6)</f>
        <v>12</v>
      </c>
      <c r="F2" s="2">
        <f t="shared" si="0"/>
        <v>1</v>
      </c>
      <c r="G2" s="2">
        <f t="shared" ref="G2:X2" si="1">MONTH(G6)</f>
        <v>2</v>
      </c>
      <c r="H2" s="2">
        <f t="shared" si="1"/>
        <v>3</v>
      </c>
      <c r="I2" s="2">
        <f t="shared" si="1"/>
        <v>4</v>
      </c>
      <c r="J2" s="2">
        <f t="shared" si="1"/>
        <v>5</v>
      </c>
      <c r="K2" s="2">
        <f t="shared" si="1"/>
        <v>6</v>
      </c>
      <c r="L2" s="2">
        <f t="shared" si="1"/>
        <v>7</v>
      </c>
      <c r="M2" s="2">
        <f t="shared" si="1"/>
        <v>8</v>
      </c>
      <c r="N2" s="2">
        <f t="shared" si="1"/>
        <v>9</v>
      </c>
      <c r="O2" s="2">
        <f t="shared" si="1"/>
        <v>10</v>
      </c>
      <c r="P2" s="2">
        <f t="shared" si="1"/>
        <v>11</v>
      </c>
      <c r="Q2" s="2">
        <f t="shared" si="1"/>
        <v>12</v>
      </c>
      <c r="R2" s="2">
        <f t="shared" si="1"/>
        <v>1</v>
      </c>
      <c r="S2" s="2">
        <f t="shared" ref="S2:W2" si="2">MONTH(S6)</f>
        <v>2</v>
      </c>
      <c r="T2" s="2">
        <f t="shared" si="2"/>
        <v>3</v>
      </c>
      <c r="U2" s="2">
        <f t="shared" si="2"/>
        <v>4</v>
      </c>
      <c r="V2" s="2">
        <f t="shared" si="2"/>
        <v>5</v>
      </c>
      <c r="W2" s="2">
        <f t="shared" si="2"/>
        <v>6</v>
      </c>
      <c r="X2" s="2">
        <f t="shared" si="1"/>
        <v>7</v>
      </c>
      <c r="Y2" s="2"/>
    </row>
    <row r="3" spans="2:27" x14ac:dyDescent="0.2">
      <c r="B3" s="17"/>
      <c r="C3" s="18"/>
      <c r="E3" s="2">
        <f t="shared" ref="E3:F3" si="3">YEAR(E6)</f>
        <v>2023</v>
      </c>
      <c r="F3" s="2">
        <f t="shared" si="3"/>
        <v>2024</v>
      </c>
      <c r="G3" s="2">
        <f t="shared" ref="G3:X3" si="4">YEAR(G6)</f>
        <v>2024</v>
      </c>
      <c r="H3" s="2">
        <f t="shared" si="4"/>
        <v>2024</v>
      </c>
      <c r="I3" s="2">
        <f t="shared" si="4"/>
        <v>2024</v>
      </c>
      <c r="J3" s="2">
        <f t="shared" si="4"/>
        <v>2024</v>
      </c>
      <c r="K3" s="2">
        <f t="shared" si="4"/>
        <v>2024</v>
      </c>
      <c r="L3" s="2">
        <f t="shared" si="4"/>
        <v>2024</v>
      </c>
      <c r="M3" s="2">
        <f t="shared" si="4"/>
        <v>2024</v>
      </c>
      <c r="N3" s="2">
        <f t="shared" si="4"/>
        <v>2024</v>
      </c>
      <c r="O3" s="2">
        <f t="shared" si="4"/>
        <v>2024</v>
      </c>
      <c r="P3" s="2">
        <f t="shared" si="4"/>
        <v>2024</v>
      </c>
      <c r="Q3" s="2">
        <f t="shared" si="4"/>
        <v>2024</v>
      </c>
      <c r="R3" s="2">
        <f t="shared" si="4"/>
        <v>2025</v>
      </c>
      <c r="S3" s="2">
        <f t="shared" ref="S3:W3" si="5">YEAR(S6)</f>
        <v>2025</v>
      </c>
      <c r="T3" s="2">
        <f t="shared" si="5"/>
        <v>2025</v>
      </c>
      <c r="U3" s="2">
        <f t="shared" si="5"/>
        <v>2025</v>
      </c>
      <c r="V3" s="2">
        <f t="shared" si="5"/>
        <v>2025</v>
      </c>
      <c r="W3" s="2">
        <f t="shared" si="5"/>
        <v>2025</v>
      </c>
      <c r="X3" s="2">
        <f t="shared" si="4"/>
        <v>2025</v>
      </c>
      <c r="Y3" s="2"/>
    </row>
    <row r="4" spans="2:27" ht="13.5" thickBot="1" x14ac:dyDescent="0.25">
      <c r="B4" s="17"/>
      <c r="C4" s="18"/>
    </row>
    <row r="5" spans="2:27" ht="13.5" thickBot="1" x14ac:dyDescent="0.25">
      <c r="B5" s="90"/>
      <c r="C5" s="91"/>
      <c r="D5" s="92"/>
      <c r="E5" s="92"/>
      <c r="F5" s="92"/>
      <c r="G5" s="92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19"/>
      <c r="Z5" s="93"/>
      <c r="AA5" s="20"/>
    </row>
    <row r="6" spans="2:27" s="21" customFormat="1" ht="16.5" thickBot="1" x14ac:dyDescent="0.25">
      <c r="B6" s="85" t="s">
        <v>2</v>
      </c>
      <c r="C6" s="85" t="s">
        <v>3</v>
      </c>
      <c r="D6" s="86" t="s">
        <v>4</v>
      </c>
      <c r="E6" s="87">
        <v>45291</v>
      </c>
      <c r="F6" s="87">
        <v>45322</v>
      </c>
      <c r="G6" s="87">
        <v>45351</v>
      </c>
      <c r="H6" s="87">
        <v>45382</v>
      </c>
      <c r="I6" s="87">
        <v>45412</v>
      </c>
      <c r="J6" s="87">
        <v>45443</v>
      </c>
      <c r="K6" s="87">
        <v>45473</v>
      </c>
      <c r="L6" s="87">
        <v>45504</v>
      </c>
      <c r="M6" s="87">
        <v>45535</v>
      </c>
      <c r="N6" s="87">
        <v>45565</v>
      </c>
      <c r="O6" s="87">
        <v>45596</v>
      </c>
      <c r="P6" s="87">
        <v>45626</v>
      </c>
      <c r="Q6" s="87">
        <v>45657</v>
      </c>
      <c r="R6" s="87">
        <v>45688</v>
      </c>
      <c r="S6" s="87">
        <v>45716</v>
      </c>
      <c r="T6" s="87">
        <v>45747</v>
      </c>
      <c r="U6" s="87">
        <v>45777</v>
      </c>
      <c r="V6" s="87">
        <v>45808</v>
      </c>
      <c r="W6" s="87">
        <v>45838</v>
      </c>
      <c r="X6" s="87">
        <v>45869</v>
      </c>
      <c r="Y6" s="88" t="s">
        <v>5</v>
      </c>
      <c r="Z6" s="55"/>
      <c r="AA6" s="89" t="s">
        <v>6</v>
      </c>
    </row>
    <row r="7" spans="2:27" s="2" customFormat="1" ht="13.5" thickBot="1" x14ac:dyDescent="0.25">
      <c r="B7" s="18"/>
      <c r="C7" s="18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2"/>
      <c r="Z7" s="56"/>
      <c r="AA7" s="22"/>
    </row>
    <row r="8" spans="2:27" x14ac:dyDescent="0.2">
      <c r="B8" s="82" t="s">
        <v>7</v>
      </c>
      <c r="C8" s="23"/>
      <c r="D8" s="101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80"/>
      <c r="Z8" s="54"/>
      <c r="AA8" s="58"/>
    </row>
    <row r="9" spans="2:27" x14ac:dyDescent="0.2">
      <c r="B9" s="9" t="s">
        <v>7</v>
      </c>
      <c r="C9" s="8" t="s">
        <v>8</v>
      </c>
      <c r="D9" s="102">
        <v>200000943422</v>
      </c>
      <c r="E9" s="6"/>
      <c r="F9" s="6"/>
      <c r="G9" s="6"/>
      <c r="H9" s="6"/>
      <c r="I9" s="6"/>
      <c r="J9" s="6"/>
      <c r="K9" s="6"/>
      <c r="L9" s="6"/>
      <c r="M9" s="6">
        <f>891.03+1360.54</f>
        <v>2251.5699999999997</v>
      </c>
      <c r="N9" s="6">
        <f>740.78+901.56</f>
        <v>1642.34</v>
      </c>
      <c r="O9" s="6">
        <f>599.54+893.36</f>
        <v>1492.9</v>
      </c>
      <c r="P9" s="6">
        <f>618.61+1098.26</f>
        <v>1716.87</v>
      </c>
      <c r="Q9" s="10">
        <f>685.04+1557.24</f>
        <v>2242.2799999999997</v>
      </c>
      <c r="R9" s="10"/>
      <c r="S9" s="61">
        <f>634+1131.05</f>
        <v>1765.05</v>
      </c>
      <c r="T9" s="61">
        <v>1276.55</v>
      </c>
      <c r="U9" s="61">
        <v>1340.69</v>
      </c>
      <c r="V9" s="61">
        <v>1324.35</v>
      </c>
      <c r="W9" s="61"/>
      <c r="X9" s="61"/>
      <c r="Y9" s="76">
        <f>SUM(E9:X9)</f>
        <v>15052.599999999999</v>
      </c>
      <c r="Z9" s="54"/>
      <c r="AA9" s="59"/>
    </row>
    <row r="10" spans="2:27" x14ac:dyDescent="0.2">
      <c r="B10" s="9" t="s">
        <v>7</v>
      </c>
      <c r="C10" s="8" t="s">
        <v>8</v>
      </c>
      <c r="D10" s="102">
        <v>200001170829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>
        <f>182.54+234.2</f>
        <v>416.74</v>
      </c>
      <c r="P10" s="6">
        <f>195.22+324.56</f>
        <v>519.78</v>
      </c>
      <c r="Q10" s="10">
        <f>268.97+491.56</f>
        <v>760.53</v>
      </c>
      <c r="R10" s="10"/>
      <c r="S10" s="61">
        <f>500.39+1994.67</f>
        <v>2495.06</v>
      </c>
      <c r="T10" s="61"/>
      <c r="U10" s="61"/>
      <c r="V10" s="61">
        <v>4808.3500000000004</v>
      </c>
      <c r="W10" s="61"/>
      <c r="X10" s="61"/>
      <c r="Y10" s="76">
        <f>SUM(E10:X10)</f>
        <v>9000.4599999999991</v>
      </c>
      <c r="Z10" s="54"/>
      <c r="AA10" s="59"/>
    </row>
    <row r="11" spans="2:27" x14ac:dyDescent="0.2">
      <c r="B11" s="9" t="s">
        <v>7</v>
      </c>
      <c r="C11" s="8" t="s">
        <v>8</v>
      </c>
      <c r="D11" s="102">
        <v>200001069159</v>
      </c>
      <c r="E11" s="6"/>
      <c r="F11" s="6"/>
      <c r="G11" s="6"/>
      <c r="H11" s="6"/>
      <c r="I11" s="6"/>
      <c r="J11" s="6"/>
      <c r="K11" s="6"/>
      <c r="L11" s="6"/>
      <c r="M11" s="6">
        <f>153.16+120.48</f>
        <v>273.64</v>
      </c>
      <c r="N11" s="6"/>
      <c r="O11" s="6">
        <f>117.1+75.61</f>
        <v>192.70999999999998</v>
      </c>
      <c r="P11" s="6">
        <f>150.86+237.41</f>
        <v>388.27</v>
      </c>
      <c r="Q11" s="10">
        <f>242.19+33.98</f>
        <v>276.17</v>
      </c>
      <c r="R11" s="10"/>
      <c r="S11" s="61"/>
      <c r="T11" s="61"/>
      <c r="U11" s="61"/>
      <c r="V11" s="61"/>
      <c r="W11" s="61"/>
      <c r="X11" s="61"/>
      <c r="Y11" s="76">
        <f>SUM(E11:X11)</f>
        <v>1130.79</v>
      </c>
      <c r="Z11" s="54"/>
      <c r="AA11" s="59"/>
    </row>
    <row r="12" spans="2:27" x14ac:dyDescent="0.2">
      <c r="B12" s="9" t="s">
        <v>7</v>
      </c>
      <c r="C12" s="8" t="s">
        <v>8</v>
      </c>
      <c r="D12" s="102">
        <v>200001570786</v>
      </c>
      <c r="E12" s="6"/>
      <c r="F12" s="6"/>
      <c r="G12" s="6"/>
      <c r="H12" s="6"/>
      <c r="I12" s="6"/>
      <c r="J12" s="6"/>
      <c r="K12" s="6"/>
      <c r="L12" s="6"/>
      <c r="M12" s="6">
        <f>1018.21+1379.66</f>
        <v>2397.87</v>
      </c>
      <c r="N12" s="6"/>
      <c r="O12" s="6">
        <f>886.46+1155.64</f>
        <v>2042.1000000000001</v>
      </c>
      <c r="P12" s="6">
        <f>1043.87+1368.73</f>
        <v>2412.6</v>
      </c>
      <c r="Q12" s="10">
        <f>1630.99+2114.57</f>
        <v>3745.5600000000004</v>
      </c>
      <c r="R12" s="10">
        <f>1442.05+1865.96</f>
        <v>3308.01</v>
      </c>
      <c r="S12" s="61">
        <f>1113.96+1434.3</f>
        <v>2548.2600000000002</v>
      </c>
      <c r="T12" s="61">
        <v>1858.46</v>
      </c>
      <c r="U12" s="61">
        <f>780.25+986.25</f>
        <v>1766.5</v>
      </c>
      <c r="V12" s="61"/>
      <c r="W12" s="61"/>
      <c r="X12" s="61"/>
      <c r="Y12" s="76">
        <f>SUM(E12:X12)</f>
        <v>20079.36</v>
      </c>
      <c r="Z12" s="54"/>
      <c r="AA12" s="59"/>
    </row>
    <row r="13" spans="2:27" x14ac:dyDescent="0.2">
      <c r="B13" s="9" t="s">
        <v>7</v>
      </c>
      <c r="C13" s="8" t="s">
        <v>8</v>
      </c>
      <c r="D13" s="102">
        <v>200001662038</v>
      </c>
      <c r="E13" s="6"/>
      <c r="F13" s="6"/>
      <c r="G13" s="6"/>
      <c r="H13" s="6"/>
      <c r="I13" s="6"/>
      <c r="J13" s="6"/>
      <c r="K13" s="6"/>
      <c r="L13" s="6"/>
      <c r="M13" s="6">
        <f>179.88+251.28</f>
        <v>431.15999999999997</v>
      </c>
      <c r="N13" s="6"/>
      <c r="O13" s="6">
        <f>128.24+107.09</f>
        <v>235.33</v>
      </c>
      <c r="P13" s="6">
        <f>120.53+87.56</f>
        <v>208.09</v>
      </c>
      <c r="Q13" s="10">
        <f>133.79+176.35</f>
        <v>310.14</v>
      </c>
      <c r="R13" s="10"/>
      <c r="S13" s="61"/>
      <c r="T13" s="61"/>
      <c r="U13" s="61"/>
      <c r="V13" s="61"/>
      <c r="W13" s="61"/>
      <c r="X13" s="61"/>
      <c r="Y13" s="76">
        <f>SUM(E13:X13)</f>
        <v>1184.72</v>
      </c>
      <c r="Z13" s="54"/>
      <c r="AA13" s="59"/>
    </row>
    <row r="14" spans="2:27" x14ac:dyDescent="0.2">
      <c r="B14" s="9" t="s">
        <v>7</v>
      </c>
      <c r="C14" s="8" t="s">
        <v>8</v>
      </c>
      <c r="D14" s="102">
        <v>200001066156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>
        <f>225.98+404.03</f>
        <v>630.01</v>
      </c>
      <c r="Q14" s="10"/>
      <c r="R14" s="10"/>
      <c r="S14" s="61"/>
      <c r="T14" s="61"/>
      <c r="U14" s="61"/>
      <c r="V14" s="61"/>
      <c r="W14" s="61"/>
      <c r="X14" s="61"/>
      <c r="Y14" s="76">
        <f>SUM(E14:X14)</f>
        <v>630.01</v>
      </c>
      <c r="Z14" s="54"/>
      <c r="AA14" s="59"/>
    </row>
    <row r="15" spans="2:27" x14ac:dyDescent="0.2">
      <c r="B15" s="9" t="s">
        <v>7</v>
      </c>
      <c r="C15" s="8" t="s">
        <v>25</v>
      </c>
      <c r="D15" s="102">
        <v>200001225759</v>
      </c>
      <c r="E15" s="6"/>
      <c r="F15" s="6"/>
      <c r="G15" s="6"/>
      <c r="H15" s="6"/>
      <c r="I15" s="6"/>
      <c r="J15" s="6"/>
      <c r="K15" s="6"/>
      <c r="L15" s="6"/>
      <c r="M15" s="6">
        <f>35.31+3.69</f>
        <v>39</v>
      </c>
      <c r="N15" s="6"/>
      <c r="O15" s="6">
        <f>37.84+4.17</f>
        <v>42.010000000000005</v>
      </c>
      <c r="P15" s="6">
        <f>32.98+4.37</f>
        <v>37.349999999999994</v>
      </c>
      <c r="Q15" s="10">
        <f>1.24+0.41</f>
        <v>1.65</v>
      </c>
      <c r="R15" s="10"/>
      <c r="S15" s="61"/>
      <c r="T15" s="61"/>
      <c r="U15" s="61"/>
      <c r="V15" s="61"/>
      <c r="W15" s="61"/>
      <c r="X15" s="61"/>
      <c r="Y15" s="76">
        <f>SUM(E15:X15)</f>
        <v>120.01</v>
      </c>
      <c r="Z15" s="54"/>
      <c r="AA15" s="59"/>
    </row>
    <row r="16" spans="2:27" x14ac:dyDescent="0.2">
      <c r="B16" s="9" t="s">
        <v>7</v>
      </c>
      <c r="C16" s="8" t="s">
        <v>25</v>
      </c>
      <c r="D16" s="102">
        <v>200001061372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>
        <f>2268.79+3073.34</f>
        <v>5342.13</v>
      </c>
      <c r="P16" s="6">
        <f>1057.67+587.15</f>
        <v>1644.8200000000002</v>
      </c>
      <c r="Q16" s="10">
        <f>1559.59+910.15</f>
        <v>2469.7399999999998</v>
      </c>
      <c r="R16" s="10"/>
      <c r="S16" s="61"/>
      <c r="T16" s="61"/>
      <c r="U16" s="61"/>
      <c r="V16" s="61"/>
      <c r="W16" s="61"/>
      <c r="X16" s="61"/>
      <c r="Y16" s="76">
        <f>SUM(E16:X16)</f>
        <v>9456.69</v>
      </c>
      <c r="Z16" s="54"/>
      <c r="AA16" s="59"/>
    </row>
    <row r="17" spans="2:29" x14ac:dyDescent="0.2">
      <c r="B17" s="9" t="s">
        <v>7</v>
      </c>
      <c r="C17" s="8" t="s">
        <v>25</v>
      </c>
      <c r="D17" s="102">
        <v>9019393624</v>
      </c>
      <c r="E17" s="6"/>
      <c r="F17" s="6"/>
      <c r="G17" s="6"/>
      <c r="H17" s="6"/>
      <c r="I17" s="6"/>
      <c r="J17" s="6"/>
      <c r="K17" s="6">
        <f>157.5+186.87</f>
        <v>344.37</v>
      </c>
      <c r="L17" s="6"/>
      <c r="M17" s="6"/>
      <c r="N17" s="6"/>
      <c r="O17" s="6"/>
      <c r="P17" s="6"/>
      <c r="Q17" s="10"/>
      <c r="R17" s="10"/>
      <c r="S17" s="61"/>
      <c r="T17" s="61"/>
      <c r="U17" s="61"/>
      <c r="V17" s="61"/>
      <c r="W17" s="61"/>
      <c r="X17" s="61"/>
      <c r="Y17" s="76">
        <f>SUM(E17:X17)</f>
        <v>344.37</v>
      </c>
      <c r="Z17" s="54"/>
      <c r="AA17" s="59"/>
    </row>
    <row r="18" spans="2:29" x14ac:dyDescent="0.2">
      <c r="B18" s="9" t="s">
        <v>7</v>
      </c>
      <c r="C18" s="8" t="s">
        <v>25</v>
      </c>
      <c r="D18" s="102">
        <v>8680738547</v>
      </c>
      <c r="E18" s="6"/>
      <c r="F18" s="6"/>
      <c r="G18" s="6"/>
      <c r="H18" s="6"/>
      <c r="I18" s="6"/>
      <c r="J18" s="6"/>
      <c r="K18" s="6">
        <f>33.33+2.6</f>
        <v>35.93</v>
      </c>
      <c r="L18" s="6"/>
      <c r="M18" s="6"/>
      <c r="N18" s="6"/>
      <c r="O18" s="6"/>
      <c r="P18" s="6"/>
      <c r="Q18" s="10"/>
      <c r="R18" s="10"/>
      <c r="S18" s="61"/>
      <c r="T18" s="61"/>
      <c r="U18" s="61"/>
      <c r="V18" s="61"/>
      <c r="W18" s="61"/>
      <c r="X18" s="61"/>
      <c r="Y18" s="76">
        <f>SUM(E18:X18)</f>
        <v>35.93</v>
      </c>
      <c r="Z18" s="54"/>
      <c r="AA18" s="59"/>
    </row>
    <row r="19" spans="2:29" x14ac:dyDescent="0.2">
      <c r="B19" s="9" t="s">
        <v>7</v>
      </c>
      <c r="C19" s="8" t="s">
        <v>25</v>
      </c>
      <c r="D19" s="102">
        <v>9144172730</v>
      </c>
      <c r="E19" s="6"/>
      <c r="F19" s="6"/>
      <c r="G19" s="6"/>
      <c r="H19" s="6"/>
      <c r="I19" s="6"/>
      <c r="J19" s="6"/>
      <c r="K19" s="6">
        <f>123.44+79.3</f>
        <v>202.74</v>
      </c>
      <c r="L19" s="6">
        <f>107.19+81.35</f>
        <v>188.54</v>
      </c>
      <c r="M19" s="6"/>
      <c r="N19" s="6"/>
      <c r="O19" s="6"/>
      <c r="P19" s="6"/>
      <c r="Q19" s="10"/>
      <c r="R19" s="10"/>
      <c r="S19" s="61"/>
      <c r="T19" s="61"/>
      <c r="U19" s="61"/>
      <c r="V19" s="61"/>
      <c r="W19" s="61"/>
      <c r="X19" s="61"/>
      <c r="Y19" s="76">
        <f>SUM(E19:X19)</f>
        <v>391.28</v>
      </c>
      <c r="Z19" s="54"/>
      <c r="AA19" s="59"/>
    </row>
    <row r="20" spans="2:29" x14ac:dyDescent="0.2">
      <c r="B20" s="9" t="s">
        <v>7</v>
      </c>
      <c r="C20" s="8" t="s">
        <v>25</v>
      </c>
      <c r="D20" s="102">
        <v>1396958744</v>
      </c>
      <c r="E20" s="6"/>
      <c r="F20" s="6"/>
      <c r="G20" s="6"/>
      <c r="H20" s="6"/>
      <c r="I20" s="6"/>
      <c r="J20" s="6"/>
      <c r="K20" s="6">
        <f>813.52+1095.53</f>
        <v>1909.05</v>
      </c>
      <c r="L20" s="6">
        <f>876.49+1182.96</f>
        <v>2059.4499999999998</v>
      </c>
      <c r="M20" s="6"/>
      <c r="N20" s="6"/>
      <c r="O20" s="6"/>
      <c r="P20" s="6"/>
      <c r="Q20" s="10"/>
      <c r="R20" s="10"/>
      <c r="S20" s="61"/>
      <c r="T20" s="61"/>
      <c r="U20" s="61"/>
      <c r="V20" s="61"/>
      <c r="W20" s="61"/>
      <c r="X20" s="61"/>
      <c r="Y20" s="76">
        <f>SUM(E20:X20)</f>
        <v>3968.5</v>
      </c>
      <c r="Z20" s="54"/>
      <c r="AA20" s="59"/>
    </row>
    <row r="21" spans="2:29" x14ac:dyDescent="0.2">
      <c r="B21" s="9" t="s">
        <v>7</v>
      </c>
      <c r="C21" s="8" t="s">
        <v>25</v>
      </c>
      <c r="D21" s="102">
        <v>7662780693</v>
      </c>
      <c r="E21" s="6"/>
      <c r="F21" s="6"/>
      <c r="G21" s="6"/>
      <c r="H21" s="6"/>
      <c r="I21" s="6"/>
      <c r="J21" s="6"/>
      <c r="K21" s="6">
        <f>740.45+983.52</f>
        <v>1723.97</v>
      </c>
      <c r="L21" s="6">
        <f>778.68+1188.42</f>
        <v>1967.1</v>
      </c>
      <c r="M21" s="6"/>
      <c r="N21" s="6"/>
      <c r="O21" s="6"/>
      <c r="P21" s="6"/>
      <c r="Q21" s="10"/>
      <c r="R21" s="10"/>
      <c r="S21" s="61"/>
      <c r="T21" s="61"/>
      <c r="U21" s="61"/>
      <c r="V21" s="61"/>
      <c r="W21" s="61"/>
      <c r="X21" s="61"/>
      <c r="Y21" s="76">
        <f>SUM(E21:X21)</f>
        <v>3691.0699999999997</v>
      </c>
      <c r="Z21" s="54"/>
      <c r="AA21" s="59"/>
    </row>
    <row r="22" spans="2:29" x14ac:dyDescent="0.2">
      <c r="B22" s="9" t="s">
        <v>7</v>
      </c>
      <c r="C22" s="8" t="s">
        <v>25</v>
      </c>
      <c r="D22" s="102">
        <v>4185452204</v>
      </c>
      <c r="E22" s="6"/>
      <c r="F22" s="6"/>
      <c r="G22" s="6"/>
      <c r="H22" s="6"/>
      <c r="I22" s="6"/>
      <c r="J22" s="6"/>
      <c r="K22" s="6">
        <f>273.81+330.15</f>
        <v>603.96</v>
      </c>
      <c r="L22" s="6">
        <f>257.7+404.54</f>
        <v>662.24</v>
      </c>
      <c r="M22" s="6"/>
      <c r="N22" s="6"/>
      <c r="O22" s="6"/>
      <c r="P22" s="6"/>
      <c r="Q22" s="10"/>
      <c r="R22" s="10"/>
      <c r="S22" s="61"/>
      <c r="T22" s="61"/>
      <c r="U22" s="61"/>
      <c r="V22" s="61"/>
      <c r="W22" s="61"/>
      <c r="X22" s="61"/>
      <c r="Y22" s="76">
        <f>SUM(E22:X22)</f>
        <v>1266.2</v>
      </c>
      <c r="Z22" s="54"/>
      <c r="AA22" s="59"/>
    </row>
    <row r="23" spans="2:29" x14ac:dyDescent="0.2">
      <c r="B23" s="9" t="s">
        <v>7</v>
      </c>
      <c r="C23" s="8" t="s">
        <v>25</v>
      </c>
      <c r="D23" s="102">
        <v>1558943139</v>
      </c>
      <c r="E23" s="6"/>
      <c r="F23" s="6"/>
      <c r="G23" s="6"/>
      <c r="H23" s="6"/>
      <c r="I23" s="6"/>
      <c r="J23" s="6"/>
      <c r="K23" s="6">
        <f>223.45+310.42</f>
        <v>533.87</v>
      </c>
      <c r="L23" s="6">
        <f>242.75+419.57</f>
        <v>662.31999999999994</v>
      </c>
      <c r="M23" s="6"/>
      <c r="N23" s="6"/>
      <c r="O23" s="6"/>
      <c r="P23" s="6"/>
      <c r="Q23" s="10"/>
      <c r="R23" s="10"/>
      <c r="S23" s="61"/>
      <c r="T23" s="61"/>
      <c r="U23" s="61"/>
      <c r="V23" s="61"/>
      <c r="W23" s="61"/>
      <c r="X23" s="61"/>
      <c r="Y23" s="76">
        <f>SUM(E23:X23)</f>
        <v>1196.19</v>
      </c>
      <c r="Z23" s="54"/>
      <c r="AA23" s="59"/>
    </row>
    <row r="24" spans="2:29" x14ac:dyDescent="0.2">
      <c r="B24" s="9" t="s">
        <v>7</v>
      </c>
      <c r="C24" s="8" t="s">
        <v>25</v>
      </c>
      <c r="D24" s="102">
        <v>9163797156</v>
      </c>
      <c r="E24" s="6"/>
      <c r="F24" s="6"/>
      <c r="G24" s="6"/>
      <c r="H24" s="6"/>
      <c r="I24" s="6"/>
      <c r="J24" s="6"/>
      <c r="K24" s="6">
        <f>728.96+1061.86</f>
        <v>1790.82</v>
      </c>
      <c r="L24" s="6">
        <f>709.04+1259.52</f>
        <v>1968.56</v>
      </c>
      <c r="M24" s="6"/>
      <c r="N24" s="6"/>
      <c r="O24" s="6"/>
      <c r="P24" s="6"/>
      <c r="Q24" s="10"/>
      <c r="R24" s="10"/>
      <c r="S24" s="61"/>
      <c r="T24" s="61"/>
      <c r="U24" s="61"/>
      <c r="V24" s="61"/>
      <c r="W24" s="61"/>
      <c r="X24" s="61"/>
      <c r="Y24" s="76">
        <f>SUM(E24:X24)</f>
        <v>3759.38</v>
      </c>
      <c r="Z24" s="54"/>
      <c r="AA24" s="59"/>
    </row>
    <row r="25" spans="2:29" x14ac:dyDescent="0.2">
      <c r="B25" s="9"/>
      <c r="C25" s="8"/>
      <c r="D25" s="102"/>
      <c r="E25" s="24"/>
      <c r="F25" s="24"/>
      <c r="G25" s="24"/>
      <c r="H25" s="6"/>
      <c r="I25" s="6"/>
      <c r="J25" s="6"/>
      <c r="K25" s="6"/>
      <c r="L25" s="6"/>
      <c r="M25" s="6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  <c r="Y25" s="76"/>
      <c r="Z25" s="54"/>
      <c r="AA25" s="59"/>
    </row>
    <row r="26" spans="2:29" s="27" customFormat="1" ht="13.5" thickBot="1" x14ac:dyDescent="0.25">
      <c r="B26" s="25" t="s">
        <v>9</v>
      </c>
      <c r="C26" s="26"/>
      <c r="D26" s="103"/>
      <c r="E26" s="98">
        <f t="shared" ref="E26:Y26" si="6">SUM(E8:E25)</f>
        <v>0</v>
      </c>
      <c r="F26" s="98">
        <f t="shared" si="6"/>
        <v>0</v>
      </c>
      <c r="G26" s="98">
        <f t="shared" si="6"/>
        <v>0</v>
      </c>
      <c r="H26" s="98">
        <f t="shared" si="6"/>
        <v>0</v>
      </c>
      <c r="I26" s="98">
        <f t="shared" si="6"/>
        <v>0</v>
      </c>
      <c r="J26" s="98">
        <f t="shared" si="6"/>
        <v>0</v>
      </c>
      <c r="K26" s="98">
        <f t="shared" si="6"/>
        <v>7144.71</v>
      </c>
      <c r="L26" s="98">
        <f t="shared" si="6"/>
        <v>7508.2099999999991</v>
      </c>
      <c r="M26" s="98">
        <f t="shared" si="6"/>
        <v>5393.24</v>
      </c>
      <c r="N26" s="98">
        <f t="shared" si="6"/>
        <v>1642.34</v>
      </c>
      <c r="O26" s="98">
        <f t="shared" si="6"/>
        <v>9763.92</v>
      </c>
      <c r="P26" s="98">
        <f t="shared" si="6"/>
        <v>7557.7900000000009</v>
      </c>
      <c r="Q26" s="98">
        <f t="shared" si="6"/>
        <v>9806.07</v>
      </c>
      <c r="R26" s="98">
        <f t="shared" si="6"/>
        <v>3308.01</v>
      </c>
      <c r="S26" s="98">
        <f t="shared" si="6"/>
        <v>6808.37</v>
      </c>
      <c r="T26" s="98">
        <f t="shared" si="6"/>
        <v>3135.01</v>
      </c>
      <c r="U26" s="98">
        <f t="shared" si="6"/>
        <v>3107.19</v>
      </c>
      <c r="V26" s="98">
        <f t="shared" si="6"/>
        <v>6132.7000000000007</v>
      </c>
      <c r="W26" s="98">
        <f t="shared" si="6"/>
        <v>0</v>
      </c>
      <c r="X26" s="98">
        <f t="shared" si="6"/>
        <v>0</v>
      </c>
      <c r="Y26" s="99">
        <f t="shared" si="6"/>
        <v>71307.560000000012</v>
      </c>
      <c r="Z26" s="57"/>
      <c r="AA26" s="60"/>
    </row>
    <row r="27" spans="2:29" s="27" customFormat="1" ht="13.5" thickBot="1" x14ac:dyDescent="0.25">
      <c r="B27" s="73"/>
      <c r="C27" s="18"/>
      <c r="D27" s="104"/>
      <c r="E27" s="74"/>
      <c r="F27" s="74"/>
      <c r="G27" s="7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53"/>
      <c r="Z27" s="57"/>
      <c r="AA27" s="75"/>
    </row>
    <row r="28" spans="2:29" x14ac:dyDescent="0.2">
      <c r="B28" s="82" t="s">
        <v>10</v>
      </c>
      <c r="C28" s="23"/>
      <c r="D28" s="101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80"/>
      <c r="Z28" s="54"/>
      <c r="AA28" s="58"/>
    </row>
    <row r="29" spans="2:29" x14ac:dyDescent="0.2">
      <c r="B29" s="9" t="s">
        <v>10</v>
      </c>
      <c r="C29" s="8" t="s">
        <v>26</v>
      </c>
      <c r="D29" s="105">
        <v>460560783</v>
      </c>
      <c r="E29" s="6"/>
      <c r="F29" s="6"/>
      <c r="G29" s="6"/>
      <c r="H29" s="6"/>
      <c r="I29" s="6"/>
      <c r="J29" s="6"/>
      <c r="K29" s="6"/>
      <c r="L29" s="6">
        <v>393.6</v>
      </c>
      <c r="M29" s="6">
        <v>388.33</v>
      </c>
      <c r="N29" s="6">
        <v>388.33</v>
      </c>
      <c r="O29" s="6">
        <v>389.32</v>
      </c>
      <c r="P29" s="6">
        <v>390.08</v>
      </c>
      <c r="Q29" s="10" t="s">
        <v>11</v>
      </c>
      <c r="R29" s="10"/>
      <c r="S29" s="108"/>
      <c r="T29" s="108">
        <v>499.08</v>
      </c>
      <c r="U29" s="108">
        <v>495.29</v>
      </c>
      <c r="V29" s="108">
        <v>499.41</v>
      </c>
      <c r="W29" s="6">
        <v>497.85</v>
      </c>
      <c r="X29" s="6">
        <v>497.85</v>
      </c>
      <c r="Y29" s="76">
        <f>SUM(E29:X29)</f>
        <v>4439.1399999999994</v>
      </c>
      <c r="Z29" s="54"/>
      <c r="AA29" s="59"/>
    </row>
    <row r="30" spans="2:29" x14ac:dyDescent="0.2">
      <c r="B30" s="9"/>
      <c r="C30" s="8"/>
      <c r="D30" s="102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10"/>
      <c r="S30" s="10"/>
      <c r="T30" s="10"/>
      <c r="U30" s="10"/>
      <c r="V30" s="10"/>
      <c r="W30" s="10"/>
      <c r="X30" s="10"/>
      <c r="Y30" s="76"/>
      <c r="Z30" s="54"/>
      <c r="AA30" s="59"/>
    </row>
    <row r="31" spans="2:29" s="27" customFormat="1" ht="13.5" thickBot="1" x14ac:dyDescent="0.25">
      <c r="B31" s="25" t="s">
        <v>12</v>
      </c>
      <c r="C31" s="26"/>
      <c r="D31" s="103"/>
      <c r="E31" s="39">
        <f t="shared" ref="E31:Y31" si="7">SUM(E28:E30)</f>
        <v>0</v>
      </c>
      <c r="F31" s="39">
        <f t="shared" si="7"/>
        <v>0</v>
      </c>
      <c r="G31" s="39">
        <f t="shared" si="7"/>
        <v>0</v>
      </c>
      <c r="H31" s="39">
        <f t="shared" si="7"/>
        <v>0</v>
      </c>
      <c r="I31" s="39">
        <f t="shared" si="7"/>
        <v>0</v>
      </c>
      <c r="J31" s="39">
        <f t="shared" si="7"/>
        <v>0</v>
      </c>
      <c r="K31" s="39">
        <f t="shared" si="7"/>
        <v>0</v>
      </c>
      <c r="L31" s="39">
        <f t="shared" si="7"/>
        <v>393.6</v>
      </c>
      <c r="M31" s="39">
        <f t="shared" si="7"/>
        <v>388.33</v>
      </c>
      <c r="N31" s="39">
        <f t="shared" si="7"/>
        <v>388.33</v>
      </c>
      <c r="O31" s="39">
        <f t="shared" si="7"/>
        <v>389.32</v>
      </c>
      <c r="P31" s="39">
        <f t="shared" si="7"/>
        <v>390.08</v>
      </c>
      <c r="Q31" s="39">
        <f t="shared" si="7"/>
        <v>0</v>
      </c>
      <c r="R31" s="39">
        <f t="shared" si="7"/>
        <v>0</v>
      </c>
      <c r="S31" s="39">
        <f t="shared" si="7"/>
        <v>0</v>
      </c>
      <c r="T31" s="39">
        <f t="shared" si="7"/>
        <v>499.08</v>
      </c>
      <c r="U31" s="39">
        <f t="shared" si="7"/>
        <v>495.29</v>
      </c>
      <c r="V31" s="39">
        <f t="shared" si="7"/>
        <v>499.41</v>
      </c>
      <c r="W31" s="39">
        <f t="shared" si="7"/>
        <v>497.85</v>
      </c>
      <c r="X31" s="39">
        <f t="shared" si="7"/>
        <v>497.85</v>
      </c>
      <c r="Y31" s="83">
        <f t="shared" si="7"/>
        <v>4439.1399999999994</v>
      </c>
      <c r="Z31" s="57"/>
      <c r="AA31" s="60"/>
    </row>
    <row r="32" spans="2:29" ht="13.5" thickBot="1" x14ac:dyDescent="0.25">
      <c r="D32" s="33"/>
      <c r="E32" s="28"/>
      <c r="F32" s="28"/>
      <c r="G32" s="28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2"/>
      <c r="Z32" s="54"/>
      <c r="AA32" s="30"/>
      <c r="AC32" s="31"/>
    </row>
    <row r="33" spans="2:30" x14ac:dyDescent="0.2">
      <c r="B33" s="82" t="s">
        <v>13</v>
      </c>
      <c r="C33" s="23"/>
      <c r="D33" s="101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32"/>
      <c r="S33" s="32"/>
      <c r="T33" s="32"/>
      <c r="U33" s="32"/>
      <c r="V33" s="32"/>
      <c r="W33" s="32"/>
      <c r="X33" s="32"/>
      <c r="Y33" s="80"/>
      <c r="Z33" s="54"/>
      <c r="AA33" s="58"/>
    </row>
    <row r="34" spans="2:30" x14ac:dyDescent="0.2">
      <c r="B34" s="9" t="s">
        <v>13</v>
      </c>
      <c r="C34" s="8" t="s">
        <v>27</v>
      </c>
      <c r="D34" s="106" t="s">
        <v>14</v>
      </c>
      <c r="E34" s="97"/>
      <c r="F34" s="97"/>
      <c r="G34" s="97"/>
      <c r="H34" s="97"/>
      <c r="I34" s="97"/>
      <c r="J34" s="97"/>
      <c r="K34" s="97">
        <f>1500+550</f>
        <v>2050</v>
      </c>
      <c r="L34" s="97">
        <v>1500</v>
      </c>
      <c r="M34" s="97">
        <f>1100+1500</f>
        <v>2600</v>
      </c>
      <c r="N34" s="97">
        <v>1500</v>
      </c>
      <c r="O34" s="97">
        <f>1500+1100</f>
        <v>2600</v>
      </c>
      <c r="P34" s="97">
        <f>1500+840.74</f>
        <v>2340.7399999999998</v>
      </c>
      <c r="Q34" s="97">
        <v>1500</v>
      </c>
      <c r="R34" s="97">
        <v>1500</v>
      </c>
      <c r="S34" s="97">
        <f>1500+685+1100</f>
        <v>3285</v>
      </c>
      <c r="T34" s="97">
        <v>1500</v>
      </c>
      <c r="U34" s="97">
        <v>1500</v>
      </c>
      <c r="V34" s="97">
        <v>1500</v>
      </c>
      <c r="W34" s="97">
        <v>1500</v>
      </c>
      <c r="X34" s="97"/>
      <c r="Y34" s="76">
        <f>SUM(E34:X34)</f>
        <v>24875.739999999998</v>
      </c>
      <c r="Z34" s="54"/>
      <c r="AA34" s="59"/>
    </row>
    <row r="35" spans="2:30" x14ac:dyDescent="0.2">
      <c r="B35" s="9" t="s">
        <v>13</v>
      </c>
      <c r="C35" s="8" t="s">
        <v>28</v>
      </c>
      <c r="D35" s="106">
        <v>1501388564</v>
      </c>
      <c r="E35" s="97"/>
      <c r="F35" s="97"/>
      <c r="G35" s="97"/>
      <c r="H35" s="97"/>
      <c r="I35" s="97"/>
      <c r="J35" s="97"/>
      <c r="K35" s="97"/>
      <c r="L35" s="97">
        <v>182.2</v>
      </c>
      <c r="M35" s="97">
        <v>182.85</v>
      </c>
      <c r="N35" s="97"/>
      <c r="O35" s="97">
        <v>180.84</v>
      </c>
      <c r="P35" s="97">
        <v>181.39</v>
      </c>
      <c r="Q35" s="97">
        <v>181.01</v>
      </c>
      <c r="R35" s="97">
        <v>180.46</v>
      </c>
      <c r="S35" s="97">
        <v>181.39</v>
      </c>
      <c r="T35" s="97">
        <v>181.84</v>
      </c>
      <c r="U35" s="97">
        <v>388.05</v>
      </c>
      <c r="V35" s="97"/>
      <c r="W35" s="97">
        <v>360.19</v>
      </c>
      <c r="X35" s="97">
        <v>366.6</v>
      </c>
      <c r="Y35" s="76">
        <f>SUM(E35:X35)</f>
        <v>2566.8199999999997</v>
      </c>
      <c r="Z35" s="54"/>
      <c r="AA35" s="59"/>
    </row>
    <row r="36" spans="2:30" x14ac:dyDescent="0.2">
      <c r="B36" s="9" t="s">
        <v>13</v>
      </c>
      <c r="C36" s="8" t="s">
        <v>15</v>
      </c>
      <c r="D36" s="106" t="s">
        <v>16</v>
      </c>
      <c r="E36" s="97"/>
      <c r="F36" s="97"/>
      <c r="G36" s="97"/>
      <c r="H36" s="97"/>
      <c r="I36" s="97"/>
      <c r="J36" s="97"/>
      <c r="K36" s="97"/>
      <c r="L36" s="97"/>
      <c r="M36" s="97"/>
      <c r="N36" s="97">
        <v>980.1</v>
      </c>
      <c r="O36" s="97">
        <v>975.3</v>
      </c>
      <c r="P36" s="97">
        <v>976.6</v>
      </c>
      <c r="Q36" s="97">
        <v>974.96</v>
      </c>
      <c r="R36" s="97">
        <v>973.52</v>
      </c>
      <c r="S36" s="97">
        <v>1245.58</v>
      </c>
      <c r="T36" s="97">
        <v>199.96</v>
      </c>
      <c r="U36" s="97">
        <v>1565.26</v>
      </c>
      <c r="V36" s="97">
        <v>833.55</v>
      </c>
      <c r="W36" s="97">
        <v>832.1</v>
      </c>
      <c r="X36" s="97">
        <v>838.56</v>
      </c>
      <c r="Y36" s="76">
        <f>SUM(E36:X36)</f>
        <v>10395.49</v>
      </c>
      <c r="Z36" s="54"/>
      <c r="AA36" s="59"/>
    </row>
    <row r="37" spans="2:30" x14ac:dyDescent="0.2">
      <c r="B37" s="9" t="s">
        <v>13</v>
      </c>
      <c r="C37" s="8" t="s">
        <v>29</v>
      </c>
      <c r="D37" s="106" t="s">
        <v>17</v>
      </c>
      <c r="E37" s="97"/>
      <c r="F37" s="97"/>
      <c r="G37" s="97"/>
      <c r="H37" s="97"/>
      <c r="I37" s="97"/>
      <c r="J37" s="97">
        <v>1463.74</v>
      </c>
      <c r="K37" s="97">
        <v>1209.52</v>
      </c>
      <c r="L37" s="97">
        <v>1155.04</v>
      </c>
      <c r="M37" s="97">
        <v>1493.68</v>
      </c>
      <c r="N37" s="97"/>
      <c r="O37" s="97">
        <v>995.62</v>
      </c>
      <c r="P37" s="97">
        <v>811.24</v>
      </c>
      <c r="Q37" s="97">
        <v>832.84</v>
      </c>
      <c r="R37" s="97">
        <v>1611.82</v>
      </c>
      <c r="S37" s="97">
        <v>770.21</v>
      </c>
      <c r="T37" s="97">
        <v>1572.62</v>
      </c>
      <c r="U37" s="97"/>
      <c r="V37" s="97">
        <v>1278.55</v>
      </c>
      <c r="W37" s="97"/>
      <c r="X37" s="97"/>
      <c r="Y37" s="76">
        <f>SUM(E37:X37)</f>
        <v>13194.879999999997</v>
      </c>
      <c r="Z37" s="54"/>
      <c r="AA37" s="59"/>
    </row>
    <row r="38" spans="2:30" x14ac:dyDescent="0.2">
      <c r="B38" s="94"/>
      <c r="C38" s="95"/>
      <c r="D38" s="10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100"/>
      <c r="Z38" s="54"/>
      <c r="AA38" s="96"/>
    </row>
    <row r="39" spans="2:30" s="27" customFormat="1" ht="13.5" thickBot="1" x14ac:dyDescent="0.25">
      <c r="B39" s="25" t="s">
        <v>18</v>
      </c>
      <c r="C39" s="26"/>
      <c r="D39" s="103"/>
      <c r="E39" s="39">
        <f t="shared" ref="E39:Y39" si="8">SUM(E33:E38)</f>
        <v>0</v>
      </c>
      <c r="F39" s="39">
        <f t="shared" si="8"/>
        <v>0</v>
      </c>
      <c r="G39" s="39">
        <f t="shared" si="8"/>
        <v>0</v>
      </c>
      <c r="H39" s="39">
        <f t="shared" si="8"/>
        <v>0</v>
      </c>
      <c r="I39" s="39">
        <f t="shared" si="8"/>
        <v>0</v>
      </c>
      <c r="J39" s="39">
        <f t="shared" si="8"/>
        <v>1463.74</v>
      </c>
      <c r="K39" s="39">
        <f t="shared" si="8"/>
        <v>3259.52</v>
      </c>
      <c r="L39" s="39">
        <f t="shared" si="8"/>
        <v>2837.24</v>
      </c>
      <c r="M39" s="39">
        <f t="shared" si="8"/>
        <v>4276.53</v>
      </c>
      <c r="N39" s="39">
        <f t="shared" si="8"/>
        <v>2480.1</v>
      </c>
      <c r="O39" s="39">
        <f t="shared" si="8"/>
        <v>4751.76</v>
      </c>
      <c r="P39" s="39">
        <f t="shared" si="8"/>
        <v>4309.9699999999993</v>
      </c>
      <c r="Q39" s="39">
        <f t="shared" si="8"/>
        <v>3488.8100000000004</v>
      </c>
      <c r="R39" s="39">
        <f t="shared" si="8"/>
        <v>4265.8</v>
      </c>
      <c r="S39" s="39">
        <f t="shared" si="8"/>
        <v>5482.1799999999994</v>
      </c>
      <c r="T39" s="39">
        <f t="shared" si="8"/>
        <v>3454.42</v>
      </c>
      <c r="U39" s="39">
        <f t="shared" si="8"/>
        <v>3453.31</v>
      </c>
      <c r="V39" s="39">
        <f t="shared" si="8"/>
        <v>3612.1000000000004</v>
      </c>
      <c r="W39" s="39">
        <f t="shared" si="8"/>
        <v>2692.29</v>
      </c>
      <c r="X39" s="39">
        <f t="shared" si="8"/>
        <v>1205.1599999999999</v>
      </c>
      <c r="Y39" s="83">
        <f t="shared" si="8"/>
        <v>51032.929999999993</v>
      </c>
      <c r="Z39" s="57"/>
      <c r="AA39" s="60"/>
    </row>
    <row r="40" spans="2:30" s="27" customFormat="1" x14ac:dyDescent="0.2">
      <c r="B40" s="73"/>
      <c r="C40" s="18"/>
      <c r="D40" s="104"/>
      <c r="E40" s="74"/>
      <c r="F40" s="74"/>
      <c r="G40" s="7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53"/>
      <c r="Z40" s="57"/>
      <c r="AA40" s="75"/>
    </row>
    <row r="41" spans="2:30" ht="13.5" thickBot="1" x14ac:dyDescent="0.25">
      <c r="Y41" s="52"/>
    </row>
    <row r="42" spans="2:30" x14ac:dyDescent="0.2">
      <c r="B42" s="79" t="s">
        <v>19</v>
      </c>
      <c r="C42" s="66"/>
      <c r="D42" s="72"/>
      <c r="E42" s="34">
        <f t="shared" ref="E42:X42" si="9">E6</f>
        <v>45291</v>
      </c>
      <c r="F42" s="34">
        <f t="shared" si="9"/>
        <v>45322</v>
      </c>
      <c r="G42" s="34">
        <f t="shared" si="9"/>
        <v>45351</v>
      </c>
      <c r="H42" s="34">
        <f t="shared" si="9"/>
        <v>45382</v>
      </c>
      <c r="I42" s="34">
        <f t="shared" si="9"/>
        <v>45412</v>
      </c>
      <c r="J42" s="34">
        <f t="shared" si="9"/>
        <v>45443</v>
      </c>
      <c r="K42" s="34">
        <f t="shared" si="9"/>
        <v>45473</v>
      </c>
      <c r="L42" s="34">
        <f t="shared" si="9"/>
        <v>45504</v>
      </c>
      <c r="M42" s="34">
        <f t="shared" si="9"/>
        <v>45535</v>
      </c>
      <c r="N42" s="34">
        <f t="shared" si="9"/>
        <v>45565</v>
      </c>
      <c r="O42" s="34">
        <f t="shared" si="9"/>
        <v>45596</v>
      </c>
      <c r="P42" s="34">
        <f t="shared" si="9"/>
        <v>45626</v>
      </c>
      <c r="Q42" s="34">
        <f t="shared" si="9"/>
        <v>45657</v>
      </c>
      <c r="R42" s="34">
        <f t="shared" si="9"/>
        <v>45688</v>
      </c>
      <c r="S42" s="34">
        <f t="shared" si="9"/>
        <v>45716</v>
      </c>
      <c r="T42" s="34">
        <f t="shared" si="9"/>
        <v>45747</v>
      </c>
      <c r="U42" s="34">
        <f t="shared" si="9"/>
        <v>45777</v>
      </c>
      <c r="V42" s="34">
        <f t="shared" si="9"/>
        <v>45808</v>
      </c>
      <c r="W42" s="34">
        <f t="shared" si="9"/>
        <v>45838</v>
      </c>
      <c r="X42" s="34">
        <f t="shared" si="9"/>
        <v>45869</v>
      </c>
      <c r="Y42" s="81" t="s">
        <v>5</v>
      </c>
      <c r="Z42" s="56"/>
      <c r="AA42" s="64"/>
      <c r="AC42" s="2"/>
      <c r="AD42" s="2"/>
    </row>
    <row r="43" spans="2:30" x14ac:dyDescent="0.2">
      <c r="B43" s="35" t="str">
        <f>B26</f>
        <v>Total Electricity</v>
      </c>
      <c r="C43" s="67"/>
      <c r="D43" s="67"/>
      <c r="E43" s="70">
        <f t="shared" ref="E43:Y43" si="10">E26</f>
        <v>0</v>
      </c>
      <c r="F43" s="70">
        <f t="shared" si="10"/>
        <v>0</v>
      </c>
      <c r="G43" s="70">
        <f t="shared" si="10"/>
        <v>0</v>
      </c>
      <c r="H43" s="70">
        <f t="shared" si="10"/>
        <v>0</v>
      </c>
      <c r="I43" s="36">
        <f t="shared" si="10"/>
        <v>0</v>
      </c>
      <c r="J43" s="36">
        <f t="shared" si="10"/>
        <v>0</v>
      </c>
      <c r="K43" s="36">
        <f t="shared" si="10"/>
        <v>7144.71</v>
      </c>
      <c r="L43" s="36">
        <f t="shared" si="10"/>
        <v>7508.2099999999991</v>
      </c>
      <c r="M43" s="36">
        <f t="shared" si="10"/>
        <v>5393.24</v>
      </c>
      <c r="N43" s="36">
        <f t="shared" si="10"/>
        <v>1642.34</v>
      </c>
      <c r="O43" s="36">
        <f t="shared" si="10"/>
        <v>9763.92</v>
      </c>
      <c r="P43" s="36">
        <f t="shared" si="10"/>
        <v>7557.7900000000009</v>
      </c>
      <c r="Q43" s="36">
        <f t="shared" si="10"/>
        <v>9806.07</v>
      </c>
      <c r="R43" s="36">
        <f t="shared" si="10"/>
        <v>3308.01</v>
      </c>
      <c r="S43" s="36">
        <f t="shared" si="10"/>
        <v>6808.37</v>
      </c>
      <c r="T43" s="36">
        <f t="shared" si="10"/>
        <v>3135.01</v>
      </c>
      <c r="U43" s="36">
        <f t="shared" si="10"/>
        <v>3107.19</v>
      </c>
      <c r="V43" s="36">
        <f t="shared" si="10"/>
        <v>6132.7000000000007</v>
      </c>
      <c r="W43" s="36">
        <f t="shared" si="10"/>
        <v>0</v>
      </c>
      <c r="X43" s="36">
        <f t="shared" si="10"/>
        <v>0</v>
      </c>
      <c r="Y43" s="76">
        <f t="shared" si="10"/>
        <v>71307.560000000012</v>
      </c>
      <c r="Z43" s="54"/>
      <c r="AA43" s="59"/>
      <c r="AC43" s="2"/>
      <c r="AD43" s="2"/>
    </row>
    <row r="44" spans="2:30" x14ac:dyDescent="0.2">
      <c r="B44" s="35" t="str">
        <f>B31</f>
        <v>Total Phone &amp; Internet</v>
      </c>
      <c r="C44" s="67"/>
      <c r="D44" s="67"/>
      <c r="E44" s="70">
        <f t="shared" ref="E44:Y44" si="11">E31</f>
        <v>0</v>
      </c>
      <c r="F44" s="70">
        <f t="shared" si="11"/>
        <v>0</v>
      </c>
      <c r="G44" s="70">
        <f t="shared" si="11"/>
        <v>0</v>
      </c>
      <c r="H44" s="70">
        <f t="shared" si="11"/>
        <v>0</v>
      </c>
      <c r="I44" s="36">
        <f t="shared" si="11"/>
        <v>0</v>
      </c>
      <c r="J44" s="36">
        <f t="shared" si="11"/>
        <v>0</v>
      </c>
      <c r="K44" s="36">
        <f t="shared" si="11"/>
        <v>0</v>
      </c>
      <c r="L44" s="36">
        <f t="shared" si="11"/>
        <v>393.6</v>
      </c>
      <c r="M44" s="36">
        <f t="shared" si="11"/>
        <v>388.33</v>
      </c>
      <c r="N44" s="36">
        <f t="shared" si="11"/>
        <v>388.33</v>
      </c>
      <c r="O44" s="36">
        <f t="shared" si="11"/>
        <v>389.32</v>
      </c>
      <c r="P44" s="36">
        <f t="shared" si="11"/>
        <v>390.08</v>
      </c>
      <c r="Q44" s="37">
        <f t="shared" si="11"/>
        <v>0</v>
      </c>
      <c r="R44" s="37">
        <f t="shared" si="11"/>
        <v>0</v>
      </c>
      <c r="S44" s="37">
        <f t="shared" si="11"/>
        <v>0</v>
      </c>
      <c r="T44" s="37">
        <f t="shared" si="11"/>
        <v>499.08</v>
      </c>
      <c r="U44" s="37">
        <f t="shared" si="11"/>
        <v>495.29</v>
      </c>
      <c r="V44" s="37">
        <f t="shared" si="11"/>
        <v>499.41</v>
      </c>
      <c r="W44" s="37">
        <f t="shared" si="11"/>
        <v>497.85</v>
      </c>
      <c r="X44" s="37">
        <f t="shared" si="11"/>
        <v>497.85</v>
      </c>
      <c r="Y44" s="77">
        <f t="shared" si="11"/>
        <v>4439.1399999999994</v>
      </c>
      <c r="Z44" s="54"/>
      <c r="AA44" s="59"/>
      <c r="AC44" s="2"/>
      <c r="AD44" s="2"/>
    </row>
    <row r="45" spans="2:30" x14ac:dyDescent="0.2">
      <c r="B45" s="35" t="str">
        <f>B39</f>
        <v>Total Water, Trash &amp; Waste Management</v>
      </c>
      <c r="C45" s="67"/>
      <c r="D45" s="67"/>
      <c r="E45" s="70">
        <f t="shared" ref="E45:Y45" si="12">E39</f>
        <v>0</v>
      </c>
      <c r="F45" s="70">
        <f t="shared" si="12"/>
        <v>0</v>
      </c>
      <c r="G45" s="70">
        <f t="shared" si="12"/>
        <v>0</v>
      </c>
      <c r="H45" s="70">
        <f t="shared" si="12"/>
        <v>0</v>
      </c>
      <c r="I45" s="36">
        <f t="shared" si="12"/>
        <v>0</v>
      </c>
      <c r="J45" s="36">
        <f t="shared" si="12"/>
        <v>1463.74</v>
      </c>
      <c r="K45" s="36">
        <f t="shared" si="12"/>
        <v>3259.52</v>
      </c>
      <c r="L45" s="36">
        <f t="shared" si="12"/>
        <v>2837.24</v>
      </c>
      <c r="M45" s="36">
        <f t="shared" si="12"/>
        <v>4276.53</v>
      </c>
      <c r="N45" s="36">
        <f t="shared" si="12"/>
        <v>2480.1</v>
      </c>
      <c r="O45" s="36">
        <f t="shared" si="12"/>
        <v>4751.76</v>
      </c>
      <c r="P45" s="36">
        <f t="shared" si="12"/>
        <v>4309.9699999999993</v>
      </c>
      <c r="Q45" s="37">
        <f t="shared" si="12"/>
        <v>3488.8100000000004</v>
      </c>
      <c r="R45" s="37">
        <f t="shared" si="12"/>
        <v>4265.8</v>
      </c>
      <c r="S45" s="37">
        <f t="shared" ref="S45:W45" si="13">S39</f>
        <v>5482.1799999999994</v>
      </c>
      <c r="T45" s="37">
        <f t="shared" si="13"/>
        <v>3454.42</v>
      </c>
      <c r="U45" s="37">
        <f t="shared" si="13"/>
        <v>3453.31</v>
      </c>
      <c r="V45" s="37">
        <f t="shared" si="13"/>
        <v>3612.1000000000004</v>
      </c>
      <c r="W45" s="37">
        <f t="shared" si="13"/>
        <v>2692.29</v>
      </c>
      <c r="X45" s="37">
        <f t="shared" si="12"/>
        <v>1205.1599999999999</v>
      </c>
      <c r="Y45" s="77">
        <f t="shared" si="12"/>
        <v>51032.929999999993</v>
      </c>
      <c r="Z45" s="54"/>
      <c r="AA45" s="59"/>
      <c r="AC45" s="2"/>
      <c r="AD45" s="2"/>
    </row>
    <row r="46" spans="2:30" ht="13.5" thickBot="1" x14ac:dyDescent="0.25">
      <c r="B46" s="38" t="s">
        <v>20</v>
      </c>
      <c r="C46" s="68"/>
      <c r="D46" s="68"/>
      <c r="E46" s="71">
        <f t="shared" ref="E46:Y46" si="14">SUM(E43:E45)</f>
        <v>0</v>
      </c>
      <c r="F46" s="71">
        <f t="shared" si="14"/>
        <v>0</v>
      </c>
      <c r="G46" s="71">
        <f t="shared" si="14"/>
        <v>0</v>
      </c>
      <c r="H46" s="71">
        <f t="shared" si="14"/>
        <v>0</v>
      </c>
      <c r="I46" s="39">
        <f t="shared" si="14"/>
        <v>0</v>
      </c>
      <c r="J46" s="39">
        <f t="shared" si="14"/>
        <v>1463.74</v>
      </c>
      <c r="K46" s="39">
        <f t="shared" si="14"/>
        <v>10404.23</v>
      </c>
      <c r="L46" s="39">
        <f t="shared" si="14"/>
        <v>10739.05</v>
      </c>
      <c r="M46" s="39">
        <f t="shared" si="14"/>
        <v>10058.099999999999</v>
      </c>
      <c r="N46" s="39">
        <f t="shared" si="14"/>
        <v>4510.7699999999995</v>
      </c>
      <c r="O46" s="39">
        <f t="shared" si="14"/>
        <v>14905</v>
      </c>
      <c r="P46" s="39">
        <f t="shared" si="14"/>
        <v>12257.84</v>
      </c>
      <c r="Q46" s="39">
        <f t="shared" si="14"/>
        <v>13294.880000000001</v>
      </c>
      <c r="R46" s="39">
        <f t="shared" si="14"/>
        <v>7573.81</v>
      </c>
      <c r="S46" s="39">
        <f t="shared" ref="S46:W46" si="15">SUM(S43:S45)</f>
        <v>12290.55</v>
      </c>
      <c r="T46" s="39">
        <f t="shared" si="15"/>
        <v>7088.51</v>
      </c>
      <c r="U46" s="39">
        <f t="shared" si="15"/>
        <v>7055.79</v>
      </c>
      <c r="V46" s="39">
        <f t="shared" si="15"/>
        <v>10244.210000000001</v>
      </c>
      <c r="W46" s="39">
        <f t="shared" si="15"/>
        <v>3190.14</v>
      </c>
      <c r="X46" s="39">
        <f t="shared" si="14"/>
        <v>1703.0099999999998</v>
      </c>
      <c r="Y46" s="78">
        <f t="shared" si="14"/>
        <v>126779.63</v>
      </c>
      <c r="Z46" s="54"/>
      <c r="AA46" s="65"/>
      <c r="AC46" s="2"/>
      <c r="AD46" s="2"/>
    </row>
    <row r="47" spans="2:30" ht="13.5" thickBot="1" x14ac:dyDescent="0.25">
      <c r="B47" s="14"/>
      <c r="Y47" s="52"/>
      <c r="Z47" s="62"/>
      <c r="AC47" s="2"/>
      <c r="AD47" s="2"/>
    </row>
    <row r="48" spans="2:30" x14ac:dyDescent="0.2">
      <c r="B48" s="79" t="s">
        <v>21</v>
      </c>
      <c r="C48" s="66"/>
      <c r="D48" s="72"/>
      <c r="E48" s="34">
        <f t="shared" ref="E48:X48" si="16">E42</f>
        <v>45291</v>
      </c>
      <c r="F48" s="34">
        <f t="shared" si="16"/>
        <v>45322</v>
      </c>
      <c r="G48" s="34">
        <f t="shared" si="16"/>
        <v>45351</v>
      </c>
      <c r="H48" s="34">
        <f t="shared" si="16"/>
        <v>45382</v>
      </c>
      <c r="I48" s="34">
        <f t="shared" si="16"/>
        <v>45412</v>
      </c>
      <c r="J48" s="34">
        <f t="shared" si="16"/>
        <v>45443</v>
      </c>
      <c r="K48" s="34">
        <f t="shared" si="16"/>
        <v>45473</v>
      </c>
      <c r="L48" s="34">
        <f t="shared" si="16"/>
        <v>45504</v>
      </c>
      <c r="M48" s="34">
        <f t="shared" si="16"/>
        <v>45535</v>
      </c>
      <c r="N48" s="34">
        <f t="shared" si="16"/>
        <v>45565</v>
      </c>
      <c r="O48" s="34">
        <f t="shared" si="16"/>
        <v>45596</v>
      </c>
      <c r="P48" s="34">
        <f t="shared" si="16"/>
        <v>45626</v>
      </c>
      <c r="Q48" s="34">
        <f t="shared" si="16"/>
        <v>45657</v>
      </c>
      <c r="R48" s="34">
        <f t="shared" si="16"/>
        <v>45688</v>
      </c>
      <c r="S48" s="34">
        <f t="shared" ref="S48:W48" si="17">S42</f>
        <v>45716</v>
      </c>
      <c r="T48" s="34">
        <f t="shared" si="17"/>
        <v>45747</v>
      </c>
      <c r="U48" s="34">
        <f t="shared" si="17"/>
        <v>45777</v>
      </c>
      <c r="V48" s="34">
        <f t="shared" si="17"/>
        <v>45808</v>
      </c>
      <c r="W48" s="34">
        <f t="shared" si="17"/>
        <v>45838</v>
      </c>
      <c r="X48" s="34">
        <f t="shared" si="16"/>
        <v>45869</v>
      </c>
      <c r="Y48" s="81" t="s">
        <v>5</v>
      </c>
      <c r="Z48" s="56"/>
      <c r="AA48" s="64"/>
      <c r="AC48" s="2"/>
      <c r="AD48" s="2"/>
    </row>
    <row r="49" spans="1:30" x14ac:dyDescent="0.2">
      <c r="B49" s="35" t="str">
        <f>B43</f>
        <v>Total Electricity</v>
      </c>
      <c r="C49" s="67"/>
      <c r="D49" s="67"/>
      <c r="E49" s="70"/>
      <c r="F49" s="70"/>
      <c r="G49" s="70"/>
      <c r="H49" s="70"/>
      <c r="I49" s="70"/>
      <c r="J49" s="70" t="e">
        <f>SUMIF(#REF!,$B49,#REF!)</f>
        <v>#REF!</v>
      </c>
      <c r="K49" s="70" t="e">
        <f>SUMIF(#REF!,$B49,#REF!)</f>
        <v>#REF!</v>
      </c>
      <c r="L49" s="70" t="e">
        <f>SUMIF(#REF!,$B49,#REF!)</f>
        <v>#REF!</v>
      </c>
      <c r="M49" s="70" t="e">
        <f>SUMIF(#REF!,$B49,#REF!)</f>
        <v>#REF!</v>
      </c>
      <c r="N49" s="70" t="e">
        <f>SUMIF(#REF!,$B49,#REF!)</f>
        <v>#REF!</v>
      </c>
      <c r="O49" s="70" t="e">
        <f>SUMIF(#REF!,$B49,#REF!)</f>
        <v>#REF!</v>
      </c>
      <c r="P49" s="70" t="e">
        <f>SUMIF(#REF!,$B49,#REF!)</f>
        <v>#REF!</v>
      </c>
      <c r="Q49" s="70" t="e">
        <f>SUMIF(#REF!,$B49,#REF!)</f>
        <v>#REF!</v>
      </c>
      <c r="R49" s="70" t="e">
        <f>SUMIF(#REF!,$B49,#REF!)</f>
        <v>#REF!</v>
      </c>
      <c r="S49" s="70" t="e">
        <f>SUMIF(#REF!,$B49,#REF!)</f>
        <v>#REF!</v>
      </c>
      <c r="T49" s="70" t="e">
        <f>SUMIF(#REF!,$B49,#REF!)</f>
        <v>#REF!</v>
      </c>
      <c r="U49" s="70"/>
      <c r="V49" s="70"/>
      <c r="W49" s="70"/>
      <c r="X49" s="70"/>
      <c r="Y49" s="76" t="e">
        <f>SUM(E49:X49)</f>
        <v>#REF!</v>
      </c>
      <c r="Z49" s="63"/>
      <c r="AA49" s="59"/>
      <c r="AC49" s="2"/>
      <c r="AD49" s="2"/>
    </row>
    <row r="50" spans="1:30" x14ac:dyDescent="0.2">
      <c r="B50" s="35" t="str">
        <f>B44</f>
        <v>Total Phone &amp; Internet</v>
      </c>
      <c r="C50" s="67"/>
      <c r="D50" s="67"/>
      <c r="E50" s="70"/>
      <c r="F50" s="70"/>
      <c r="G50" s="70"/>
      <c r="H50" s="70"/>
      <c r="I50" s="70"/>
      <c r="J50" s="70" t="e">
        <f>SUMIF(#REF!,$B50,#REF!)</f>
        <v>#REF!</v>
      </c>
      <c r="K50" s="70" t="e">
        <f>SUMIF(#REF!,$B50,#REF!)</f>
        <v>#REF!</v>
      </c>
      <c r="L50" s="70" t="e">
        <f>SUMIF(#REF!,$B50,#REF!)</f>
        <v>#REF!</v>
      </c>
      <c r="M50" s="70" t="e">
        <f>SUMIF(#REF!,$B50,#REF!)</f>
        <v>#REF!</v>
      </c>
      <c r="N50" s="70" t="e">
        <f>SUMIF(#REF!,$B50,#REF!)</f>
        <v>#REF!</v>
      </c>
      <c r="O50" s="70" t="e">
        <f>SUMIF(#REF!,$B50,#REF!)</f>
        <v>#REF!</v>
      </c>
      <c r="P50" s="70" t="e">
        <f>SUMIF(#REF!,$B50,#REF!)</f>
        <v>#REF!</v>
      </c>
      <c r="Q50" s="70" t="e">
        <f>SUMIF(#REF!,$B50,#REF!)</f>
        <v>#REF!</v>
      </c>
      <c r="R50" s="70" t="e">
        <f>SUMIF(#REF!,$B50,#REF!)</f>
        <v>#REF!</v>
      </c>
      <c r="S50" s="70" t="e">
        <f>SUMIF(#REF!,$B50,#REF!)</f>
        <v>#REF!</v>
      </c>
      <c r="T50" s="70" t="e">
        <f>SUMIF(#REF!,$B50,#REF!)</f>
        <v>#REF!</v>
      </c>
      <c r="U50" s="70"/>
      <c r="V50" s="70"/>
      <c r="W50" s="70"/>
      <c r="X50" s="70"/>
      <c r="Y50" s="77" t="e">
        <f>SUM(E50:X50)</f>
        <v>#REF!</v>
      </c>
      <c r="Z50" s="63"/>
      <c r="AA50" s="59"/>
      <c r="AC50" s="2"/>
      <c r="AD50" s="2"/>
    </row>
    <row r="51" spans="1:30" x14ac:dyDescent="0.2">
      <c r="B51" s="35" t="str">
        <f>B45</f>
        <v>Total Water, Trash &amp; Waste Management</v>
      </c>
      <c r="C51" s="67"/>
      <c r="D51" s="67"/>
      <c r="E51" s="70"/>
      <c r="F51" s="70"/>
      <c r="G51" s="70"/>
      <c r="H51" s="70"/>
      <c r="I51" s="70"/>
      <c r="J51" s="70" t="e">
        <f>SUMIF(#REF!,$B51,#REF!)</f>
        <v>#REF!</v>
      </c>
      <c r="K51" s="70" t="e">
        <f>SUMIF(#REF!,$B51,#REF!)</f>
        <v>#REF!</v>
      </c>
      <c r="L51" s="70" t="e">
        <f>SUMIF(#REF!,$B51,#REF!)</f>
        <v>#REF!</v>
      </c>
      <c r="M51" s="70" t="e">
        <f>SUMIF(#REF!,$B51,#REF!)</f>
        <v>#REF!</v>
      </c>
      <c r="N51" s="70" t="e">
        <f>SUMIF(#REF!,$B51,#REF!)</f>
        <v>#REF!</v>
      </c>
      <c r="O51" s="70" t="e">
        <f>SUMIF(#REF!,$B51,#REF!)</f>
        <v>#REF!</v>
      </c>
      <c r="P51" s="70" t="e">
        <f>SUMIF(#REF!,$B51,#REF!)</f>
        <v>#REF!</v>
      </c>
      <c r="Q51" s="70" t="e">
        <f>SUMIF(#REF!,$B51,#REF!)</f>
        <v>#REF!</v>
      </c>
      <c r="R51" s="70" t="e">
        <f>SUMIF(#REF!,$B51,#REF!)</f>
        <v>#REF!</v>
      </c>
      <c r="S51" s="70" t="e">
        <f>SUMIF(#REF!,$B51,#REF!)</f>
        <v>#REF!</v>
      </c>
      <c r="T51" s="70" t="e">
        <f>SUMIF(#REF!,$B51,#REF!)</f>
        <v>#REF!</v>
      </c>
      <c r="U51" s="70"/>
      <c r="V51" s="70"/>
      <c r="W51" s="70"/>
      <c r="X51" s="70"/>
      <c r="Y51" s="77" t="e">
        <f>SUM(E51:X51)</f>
        <v>#REF!</v>
      </c>
      <c r="Z51" s="63"/>
      <c r="AA51" s="59"/>
      <c r="AC51" s="2"/>
      <c r="AD51" s="2"/>
    </row>
    <row r="52" spans="1:30" ht="13.5" thickBot="1" x14ac:dyDescent="0.25">
      <c r="B52" s="38" t="s">
        <v>20</v>
      </c>
      <c r="C52" s="68"/>
      <c r="D52" s="68"/>
      <c r="E52" s="71">
        <f>SUM(E49:E51)</f>
        <v>0</v>
      </c>
      <c r="F52" s="71">
        <f t="shared" ref="F52:Y52" si="18">SUM(F49:F51)</f>
        <v>0</v>
      </c>
      <c r="G52" s="71">
        <f t="shared" si="18"/>
        <v>0</v>
      </c>
      <c r="H52" s="71">
        <f t="shared" si="18"/>
        <v>0</v>
      </c>
      <c r="I52" s="71">
        <f t="shared" si="18"/>
        <v>0</v>
      </c>
      <c r="J52" s="71" t="e">
        <f t="shared" si="18"/>
        <v>#REF!</v>
      </c>
      <c r="K52" s="71" t="e">
        <f t="shared" si="18"/>
        <v>#REF!</v>
      </c>
      <c r="L52" s="71" t="e">
        <f t="shared" si="18"/>
        <v>#REF!</v>
      </c>
      <c r="M52" s="71" t="e">
        <f t="shared" si="18"/>
        <v>#REF!</v>
      </c>
      <c r="N52" s="71" t="e">
        <f t="shared" si="18"/>
        <v>#REF!</v>
      </c>
      <c r="O52" s="71" t="e">
        <f t="shared" si="18"/>
        <v>#REF!</v>
      </c>
      <c r="P52" s="71" t="e">
        <f t="shared" si="18"/>
        <v>#REF!</v>
      </c>
      <c r="Q52" s="71" t="e">
        <f t="shared" si="18"/>
        <v>#REF!</v>
      </c>
      <c r="R52" s="71" t="e">
        <f t="shared" si="18"/>
        <v>#REF!</v>
      </c>
      <c r="S52" s="71" t="e">
        <f t="shared" ref="S52:W52" si="19">SUM(S49:S51)</f>
        <v>#REF!</v>
      </c>
      <c r="T52" s="71" t="e">
        <f t="shared" si="19"/>
        <v>#REF!</v>
      </c>
      <c r="U52" s="71">
        <f t="shared" si="19"/>
        <v>0</v>
      </c>
      <c r="V52" s="71">
        <f t="shared" si="19"/>
        <v>0</v>
      </c>
      <c r="W52" s="71">
        <f t="shared" si="19"/>
        <v>0</v>
      </c>
      <c r="X52" s="71">
        <f t="shared" si="18"/>
        <v>0</v>
      </c>
      <c r="Y52" s="78" t="e">
        <f t="shared" si="18"/>
        <v>#REF!</v>
      </c>
      <c r="Z52" s="63"/>
      <c r="AA52" s="65"/>
      <c r="AC52" s="2"/>
      <c r="AD52" s="2"/>
    </row>
    <row r="53" spans="1:30" ht="13.5" thickBot="1" x14ac:dyDescent="0.25">
      <c r="B53" s="14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2"/>
      <c r="Z53" s="29"/>
      <c r="AC53" s="2"/>
      <c r="AD53" s="2"/>
    </row>
    <row r="54" spans="1:30" x14ac:dyDescent="0.2">
      <c r="B54" s="79" t="s">
        <v>22</v>
      </c>
      <c r="C54" s="66"/>
      <c r="D54" s="72"/>
      <c r="E54" s="34">
        <f t="shared" ref="E54:X54" si="20">E42</f>
        <v>45291</v>
      </c>
      <c r="F54" s="34">
        <f t="shared" si="20"/>
        <v>45322</v>
      </c>
      <c r="G54" s="34">
        <f t="shared" si="20"/>
        <v>45351</v>
      </c>
      <c r="H54" s="34">
        <f t="shared" si="20"/>
        <v>45382</v>
      </c>
      <c r="I54" s="34">
        <f t="shared" si="20"/>
        <v>45412</v>
      </c>
      <c r="J54" s="34">
        <f t="shared" si="20"/>
        <v>45443</v>
      </c>
      <c r="K54" s="34">
        <f t="shared" si="20"/>
        <v>45473</v>
      </c>
      <c r="L54" s="34">
        <f t="shared" si="20"/>
        <v>45504</v>
      </c>
      <c r="M54" s="34">
        <f t="shared" si="20"/>
        <v>45535</v>
      </c>
      <c r="N54" s="34">
        <f t="shared" si="20"/>
        <v>45565</v>
      </c>
      <c r="O54" s="34">
        <f t="shared" si="20"/>
        <v>45596</v>
      </c>
      <c r="P54" s="34">
        <f t="shared" si="20"/>
        <v>45626</v>
      </c>
      <c r="Q54" s="34">
        <f t="shared" si="20"/>
        <v>45657</v>
      </c>
      <c r="R54" s="34">
        <f t="shared" si="20"/>
        <v>45688</v>
      </c>
      <c r="S54" s="34">
        <f t="shared" ref="S54:W54" si="21">S42</f>
        <v>45716</v>
      </c>
      <c r="T54" s="34">
        <f t="shared" si="21"/>
        <v>45747</v>
      </c>
      <c r="U54" s="34">
        <f t="shared" si="21"/>
        <v>45777</v>
      </c>
      <c r="V54" s="34">
        <f t="shared" si="21"/>
        <v>45808</v>
      </c>
      <c r="W54" s="34">
        <f t="shared" si="21"/>
        <v>45838</v>
      </c>
      <c r="X54" s="34">
        <f t="shared" si="20"/>
        <v>45869</v>
      </c>
      <c r="Y54" s="40" t="s">
        <v>5</v>
      </c>
      <c r="Z54" s="41"/>
      <c r="AA54" s="64"/>
      <c r="AC54" s="2"/>
      <c r="AD54" s="2"/>
    </row>
    <row r="55" spans="1:30" x14ac:dyDescent="0.2">
      <c r="B55" s="35" t="str">
        <f>B43</f>
        <v>Total Electricity</v>
      </c>
      <c r="C55" s="67"/>
      <c r="D55" s="67"/>
      <c r="E55" s="70">
        <f t="shared" ref="E55:Y55" si="22">E49-E43</f>
        <v>0</v>
      </c>
      <c r="F55" s="70">
        <f t="shared" si="22"/>
        <v>0</v>
      </c>
      <c r="G55" s="70">
        <f t="shared" si="22"/>
        <v>0</v>
      </c>
      <c r="H55" s="70">
        <f t="shared" si="22"/>
        <v>0</v>
      </c>
      <c r="I55" s="36">
        <f t="shared" si="22"/>
        <v>0</v>
      </c>
      <c r="J55" s="36" t="e">
        <f t="shared" si="22"/>
        <v>#REF!</v>
      </c>
      <c r="K55" s="36" t="e">
        <f t="shared" si="22"/>
        <v>#REF!</v>
      </c>
      <c r="L55" s="36" t="e">
        <f t="shared" si="22"/>
        <v>#REF!</v>
      </c>
      <c r="M55" s="36" t="e">
        <f t="shared" si="22"/>
        <v>#REF!</v>
      </c>
      <c r="N55" s="36" t="e">
        <f t="shared" si="22"/>
        <v>#REF!</v>
      </c>
      <c r="O55" s="36" t="e">
        <f t="shared" si="22"/>
        <v>#REF!</v>
      </c>
      <c r="P55" s="36" t="e">
        <f t="shared" si="22"/>
        <v>#REF!</v>
      </c>
      <c r="Q55" s="36" t="e">
        <f t="shared" si="22"/>
        <v>#REF!</v>
      </c>
      <c r="R55" s="36" t="e">
        <f t="shared" si="22"/>
        <v>#REF!</v>
      </c>
      <c r="S55" s="36" t="e">
        <f t="shared" ref="S55:W55" si="23">S49-S43</f>
        <v>#REF!</v>
      </c>
      <c r="T55" s="36" t="e">
        <f t="shared" si="23"/>
        <v>#REF!</v>
      </c>
      <c r="U55" s="36">
        <f t="shared" si="23"/>
        <v>-3107.19</v>
      </c>
      <c r="V55" s="36">
        <f t="shared" si="23"/>
        <v>-6132.7000000000007</v>
      </c>
      <c r="W55" s="36">
        <f t="shared" si="23"/>
        <v>0</v>
      </c>
      <c r="X55" s="36">
        <f t="shared" si="22"/>
        <v>0</v>
      </c>
      <c r="Y55" s="84" t="e">
        <f t="shared" si="22"/>
        <v>#REF!</v>
      </c>
      <c r="Z55" s="42">
        <f>IFERROR((Y49/Y43)-1,0)</f>
        <v>0</v>
      </c>
      <c r="AA55" s="59"/>
      <c r="AC55" s="2"/>
      <c r="AD55" s="2"/>
    </row>
    <row r="56" spans="1:30" x14ac:dyDescent="0.2">
      <c r="B56" s="35" t="str">
        <f>B44</f>
        <v>Total Phone &amp; Internet</v>
      </c>
      <c r="C56" s="67"/>
      <c r="D56" s="67"/>
      <c r="E56" s="70">
        <f t="shared" ref="E56:Y56" si="24">E50-E44</f>
        <v>0</v>
      </c>
      <c r="F56" s="70">
        <f t="shared" si="24"/>
        <v>0</v>
      </c>
      <c r="G56" s="70">
        <f t="shared" si="24"/>
        <v>0</v>
      </c>
      <c r="H56" s="70">
        <f t="shared" si="24"/>
        <v>0</v>
      </c>
      <c r="I56" s="36">
        <f t="shared" si="24"/>
        <v>0</v>
      </c>
      <c r="J56" s="36" t="e">
        <f t="shared" si="24"/>
        <v>#REF!</v>
      </c>
      <c r="K56" s="36" t="e">
        <f t="shared" si="24"/>
        <v>#REF!</v>
      </c>
      <c r="L56" s="36" t="e">
        <f t="shared" si="24"/>
        <v>#REF!</v>
      </c>
      <c r="M56" s="36" t="e">
        <f t="shared" si="24"/>
        <v>#REF!</v>
      </c>
      <c r="N56" s="36" t="e">
        <f t="shared" si="24"/>
        <v>#REF!</v>
      </c>
      <c r="O56" s="36" t="e">
        <f t="shared" si="24"/>
        <v>#REF!</v>
      </c>
      <c r="P56" s="36" t="e">
        <f t="shared" si="24"/>
        <v>#REF!</v>
      </c>
      <c r="Q56" s="36" t="e">
        <f t="shared" si="24"/>
        <v>#REF!</v>
      </c>
      <c r="R56" s="36" t="e">
        <f t="shared" si="24"/>
        <v>#REF!</v>
      </c>
      <c r="S56" s="36" t="e">
        <f t="shared" ref="S56:W56" si="25">S50-S44</f>
        <v>#REF!</v>
      </c>
      <c r="T56" s="36" t="e">
        <f t="shared" si="25"/>
        <v>#REF!</v>
      </c>
      <c r="U56" s="36">
        <f t="shared" si="25"/>
        <v>-495.29</v>
      </c>
      <c r="V56" s="36">
        <f t="shared" si="25"/>
        <v>-499.41</v>
      </c>
      <c r="W56" s="36">
        <f t="shared" si="25"/>
        <v>-497.85</v>
      </c>
      <c r="X56" s="36">
        <f t="shared" si="24"/>
        <v>-497.85</v>
      </c>
      <c r="Y56" s="84" t="e">
        <f t="shared" si="24"/>
        <v>#REF!</v>
      </c>
      <c r="Z56" s="43">
        <f>IFERROR((Y50/Y44)-1,0)</f>
        <v>0</v>
      </c>
      <c r="AA56" s="59"/>
      <c r="AC56" s="2"/>
      <c r="AD56" s="2"/>
    </row>
    <row r="57" spans="1:30" x14ac:dyDescent="0.2">
      <c r="B57" s="35" t="str">
        <f>B45</f>
        <v>Total Water, Trash &amp; Waste Management</v>
      </c>
      <c r="C57" s="67"/>
      <c r="D57" s="67"/>
      <c r="E57" s="70">
        <f t="shared" ref="E57:Y57" si="26">E51-E45</f>
        <v>0</v>
      </c>
      <c r="F57" s="70">
        <f t="shared" si="26"/>
        <v>0</v>
      </c>
      <c r="G57" s="70">
        <f t="shared" si="26"/>
        <v>0</v>
      </c>
      <c r="H57" s="70">
        <f t="shared" si="26"/>
        <v>0</v>
      </c>
      <c r="I57" s="36">
        <f t="shared" si="26"/>
        <v>0</v>
      </c>
      <c r="J57" s="36" t="e">
        <f t="shared" si="26"/>
        <v>#REF!</v>
      </c>
      <c r="K57" s="36" t="e">
        <f t="shared" si="26"/>
        <v>#REF!</v>
      </c>
      <c r="L57" s="36" t="e">
        <f t="shared" si="26"/>
        <v>#REF!</v>
      </c>
      <c r="M57" s="36" t="e">
        <f t="shared" si="26"/>
        <v>#REF!</v>
      </c>
      <c r="N57" s="36" t="e">
        <f t="shared" si="26"/>
        <v>#REF!</v>
      </c>
      <c r="O57" s="36" t="e">
        <f t="shared" si="26"/>
        <v>#REF!</v>
      </c>
      <c r="P57" s="36" t="e">
        <f t="shared" si="26"/>
        <v>#REF!</v>
      </c>
      <c r="Q57" s="36" t="e">
        <f t="shared" si="26"/>
        <v>#REF!</v>
      </c>
      <c r="R57" s="36" t="e">
        <f t="shared" si="26"/>
        <v>#REF!</v>
      </c>
      <c r="S57" s="36" t="e">
        <f t="shared" ref="S57:W57" si="27">S51-S45</f>
        <v>#REF!</v>
      </c>
      <c r="T57" s="36" t="e">
        <f t="shared" si="27"/>
        <v>#REF!</v>
      </c>
      <c r="U57" s="36">
        <f t="shared" si="27"/>
        <v>-3453.31</v>
      </c>
      <c r="V57" s="36">
        <f t="shared" si="27"/>
        <v>-3612.1000000000004</v>
      </c>
      <c r="W57" s="36">
        <f t="shared" si="27"/>
        <v>-2692.29</v>
      </c>
      <c r="X57" s="36">
        <f t="shared" si="26"/>
        <v>-1205.1599999999999</v>
      </c>
      <c r="Y57" s="84" t="e">
        <f t="shared" si="26"/>
        <v>#REF!</v>
      </c>
      <c r="Z57" s="44">
        <f>IFERROR((Y51/Y45)-1,0)</f>
        <v>0</v>
      </c>
      <c r="AA57" s="59"/>
      <c r="AC57" s="2"/>
      <c r="AD57" s="2"/>
    </row>
    <row r="58" spans="1:30" ht="13.5" thickBot="1" x14ac:dyDescent="0.25">
      <c r="B58" s="38" t="s">
        <v>20</v>
      </c>
      <c r="C58" s="69"/>
      <c r="D58" s="68"/>
      <c r="E58" s="71">
        <f t="shared" ref="E58:Y58" si="28">E52-E46</f>
        <v>0</v>
      </c>
      <c r="F58" s="71">
        <f t="shared" si="28"/>
        <v>0</v>
      </c>
      <c r="G58" s="71">
        <f t="shared" si="28"/>
        <v>0</v>
      </c>
      <c r="H58" s="71">
        <f t="shared" si="28"/>
        <v>0</v>
      </c>
      <c r="I58" s="39">
        <f t="shared" si="28"/>
        <v>0</v>
      </c>
      <c r="J58" s="39" t="e">
        <f t="shared" si="28"/>
        <v>#REF!</v>
      </c>
      <c r="K58" s="39" t="e">
        <f t="shared" si="28"/>
        <v>#REF!</v>
      </c>
      <c r="L58" s="39" t="e">
        <f t="shared" si="28"/>
        <v>#REF!</v>
      </c>
      <c r="M58" s="39" t="e">
        <f t="shared" si="28"/>
        <v>#REF!</v>
      </c>
      <c r="N58" s="39" t="e">
        <f t="shared" si="28"/>
        <v>#REF!</v>
      </c>
      <c r="O58" s="39" t="e">
        <f t="shared" si="28"/>
        <v>#REF!</v>
      </c>
      <c r="P58" s="39" t="e">
        <f t="shared" si="28"/>
        <v>#REF!</v>
      </c>
      <c r="Q58" s="39" t="e">
        <f t="shared" si="28"/>
        <v>#REF!</v>
      </c>
      <c r="R58" s="39" t="e">
        <f t="shared" si="28"/>
        <v>#REF!</v>
      </c>
      <c r="S58" s="39" t="e">
        <f t="shared" ref="S58:W58" si="29">S52-S46</f>
        <v>#REF!</v>
      </c>
      <c r="T58" s="39" t="e">
        <f t="shared" si="29"/>
        <v>#REF!</v>
      </c>
      <c r="U58" s="39">
        <f t="shared" si="29"/>
        <v>-7055.79</v>
      </c>
      <c r="V58" s="39">
        <f t="shared" si="29"/>
        <v>-10244.210000000001</v>
      </c>
      <c r="W58" s="39">
        <f t="shared" si="29"/>
        <v>-3190.14</v>
      </c>
      <c r="X58" s="39">
        <f t="shared" si="28"/>
        <v>-1703.0099999999998</v>
      </c>
      <c r="Y58" s="39" t="e">
        <f t="shared" si="28"/>
        <v>#REF!</v>
      </c>
      <c r="Z58" s="45">
        <f>IFERROR((Y52/Y46)-1,0)</f>
        <v>0</v>
      </c>
      <c r="AA58" s="65"/>
      <c r="AC58" s="2"/>
      <c r="AD58" s="2"/>
    </row>
    <row r="59" spans="1:30" x14ac:dyDescent="0.2">
      <c r="B59" s="14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7"/>
      <c r="Z59" s="48"/>
      <c r="AA59" s="30"/>
      <c r="AC59" s="2"/>
      <c r="AD59" s="2"/>
    </row>
    <row r="62" spans="1:30" x14ac:dyDescent="0.2">
      <c r="L62" s="49"/>
      <c r="N62" s="49"/>
    </row>
    <row r="63" spans="1:30" x14ac:dyDescent="0.2">
      <c r="A63" s="2"/>
      <c r="J63" s="49"/>
      <c r="L63" s="49"/>
    </row>
    <row r="64" spans="1:30" x14ac:dyDescent="0.2">
      <c r="A64" s="2"/>
      <c r="J64" s="49"/>
      <c r="K64" s="49"/>
      <c r="L64" s="49"/>
    </row>
    <row r="65" spans="13:17" x14ac:dyDescent="0.2">
      <c r="M65" s="49"/>
      <c r="N65" s="49"/>
    </row>
    <row r="66" spans="13:17" x14ac:dyDescent="0.2">
      <c r="M66" s="49"/>
      <c r="N66" s="50"/>
    </row>
    <row r="68" spans="13:17" x14ac:dyDescent="0.2">
      <c r="Q68" s="51"/>
    </row>
    <row r="69" spans="13:17" x14ac:dyDescent="0.2">
      <c r="Q69" s="51"/>
    </row>
  </sheetData>
  <autoFilter ref="B6:AA26" xr:uid="{00000000-0009-0000-0000-000001000000}"/>
  <conditionalFormatting sqref="D8:D25">
    <cfRule type="duplicateValues" dxfId="2" priority="99"/>
  </conditionalFormatting>
  <conditionalFormatting sqref="D28:D31">
    <cfRule type="duplicateValues" dxfId="1" priority="98"/>
  </conditionalFormatting>
  <conditionalFormatting sqref="D33:D39">
    <cfRule type="duplicateValues" dxfId="0" priority="101"/>
  </conditionalFormatting>
  <pageMargins left="0.75" right="0.75" top="1" bottom="1" header="0.5" footer="0.5"/>
  <pageSetup scale="77" orientation="landscape" horizontalDpi="1200" verticalDpi="1200" r:id="rId1"/>
  <headerFooter alignWithMargins="0"/>
  <ignoredErrors>
    <ignoredError sqref="Y9:Y10 Y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green Branch_Utility Recon</vt:lpstr>
      <vt:lpstr>'green Branch_Utility Recon'!Print_Area</vt:lpstr>
    </vt:vector>
  </TitlesOfParts>
  <Manager/>
  <Company>Townhouse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Maksud Islam</dc:creator>
  <cp:keywords/>
  <dc:description/>
  <cp:lastModifiedBy>Esme Abha</cp:lastModifiedBy>
  <cp:revision/>
  <dcterms:created xsi:type="dcterms:W3CDTF">2010-11-23T19:30:31Z</dcterms:created>
  <dcterms:modified xsi:type="dcterms:W3CDTF">2026-05-06T10:50:34Z</dcterms:modified>
  <cp:category/>
  <cp:contentStatus/>
</cp:coreProperties>
</file>